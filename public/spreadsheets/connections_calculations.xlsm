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ul_\Desktop\"/>
    </mc:Choice>
  </mc:AlternateContent>
  <xr:revisionPtr revIDLastSave="0" documentId="13_ncr:1_{58DC9083-766A-4654-AD53-A310E69E9D59}" xr6:coauthVersionLast="47" xr6:coauthVersionMax="47" xr10:uidLastSave="{00000000-0000-0000-0000-000000000000}"/>
  <bookViews>
    <workbookView xWindow="-110" yWindow="-110" windowWidth="38620" windowHeight="21100" tabRatio="838" activeTab="1" xr2:uid="{00000000-000D-0000-FFFF-FFFF00000000}"/>
  </bookViews>
  <sheets>
    <sheet name="Propiedades" sheetId="1" r:id="rId1"/>
    <sheet name="Diag CJ Apernada" sheetId="37" r:id="rId2"/>
  </sheets>
  <functionGroups builtInGroupCount="19"/>
  <definedNames>
    <definedName name="_xleta.COS" hidden="1" xlm="1">#NAME?</definedName>
    <definedName name="_xleta.NA" hidden="1" xlm="1">#NAME?</definedName>
    <definedName name="Aceros">Propiedades!$B$6:$B$35</definedName>
    <definedName name="angulo">Propiedades!$P$34:$P$36</definedName>
    <definedName name="atiesador">Propiedades!$W$34:$W$35</definedName>
    <definedName name="Cajon">Propiedades!$Q$34:$Q$35</definedName>
    <definedName name="Conexion">Propiedades!$S$34:$S$35</definedName>
    <definedName name="eje">Propiedades!$H$34:$H$35</definedName>
    <definedName name="Empalme">Propiedades!$G$34:$G$41</definedName>
    <definedName name="Enrejado">Propiedades!$R$34:$R$35</definedName>
    <definedName name="Filete">Propiedades!$Q$4:$Q$23</definedName>
    <definedName name="Fu">Propiedades!$D$6:$D$35</definedName>
    <definedName name="Fy">Propiedades!$C$6:$C$35</definedName>
    <definedName name="laminado">Propiedades!$U$34:$U$35</definedName>
    <definedName name="Momento">Propiedades!$M$34:$M$36</definedName>
    <definedName name="Opcion">Propiedades!$M$34:$M$35</definedName>
    <definedName name="perfil">Propiedades!$O$34:$O$44</definedName>
    <definedName name="Perforación">Propiedades!$L$4:$L$6</definedName>
    <definedName name="Pernos">Propiedades!$F$5:$F$6</definedName>
    <definedName name="phi">Propiedades!$F$12:$F$19</definedName>
    <definedName name="Plancha">Propiedades!$R$4:$R$24</definedName>
    <definedName name="porcentaje">Propiedades!$S$4:$S$29</definedName>
    <definedName name="Propiedades">Propiedades!$C$4:$D$4</definedName>
    <definedName name="puntal">Propiedades!$V$34:$V$35</definedName>
    <definedName name="radio">Propiedades!$I$34:$I$35</definedName>
    <definedName name="Soldadura">Propiedades!$B$38:$B$44</definedName>
    <definedName name="TipoSoldadura">Propiedades!$N$34:$N$37</definedName>
    <definedName name="TL">Propiedades!$T$34:$T$35</definedName>
    <definedName name="Union">Propiedades!$F$34:$F$35</definedName>
  </definedNames>
  <calcPr calcId="181029"/>
  <extLst>
    <ext uri="GoogleSheetsCustomDataVersion2">
      <go:sheetsCustomData xmlns:go="http://customooxmlschemas.google.com/" r:id="rId69" roundtripDataChecksum="GLQSQI+rmMHiB0jNgY/yQzDb7KrC2sxmush0mEbEYlg="/>
    </ext>
  </extLst>
</workbook>
</file>

<file path=xl/calcChain.xml><?xml version="1.0" encoding="utf-8"?>
<calcChain xmlns="http://schemas.openxmlformats.org/spreadsheetml/2006/main">
  <c r="M41" i="37" l="1"/>
  <c r="P31" i="1"/>
  <c r="P24" i="1" l="1"/>
  <c r="P25" i="1"/>
  <c r="P26" i="1"/>
  <c r="P27" i="1"/>
  <c r="P28" i="1"/>
  <c r="P29" i="1"/>
  <c r="P30" i="1"/>
  <c r="O25" i="1"/>
  <c r="O26" i="1"/>
  <c r="O27" i="1"/>
  <c r="O28" i="1"/>
  <c r="O29" i="1"/>
  <c r="O30" i="1"/>
  <c r="O31" i="1"/>
  <c r="O24" i="1"/>
  <c r="D47" i="37"/>
  <c r="T32" i="37" l="1"/>
  <c r="J13" i="1" l="1"/>
  <c r="J14" i="1"/>
  <c r="J15" i="1"/>
  <c r="J16" i="1"/>
  <c r="J17" i="1"/>
  <c r="J18" i="1"/>
  <c r="J19" i="1"/>
  <c r="J12" i="1"/>
  <c r="H13" i="1"/>
  <c r="H14" i="1"/>
  <c r="H15" i="1"/>
  <c r="H16" i="1"/>
  <c r="H17" i="1"/>
  <c r="H18" i="1"/>
  <c r="H19" i="1"/>
  <c r="H12" i="1"/>
  <c r="I46" i="37"/>
  <c r="T4" i="37" s="1"/>
  <c r="Q45" i="37"/>
  <c r="S44" i="37"/>
  <c r="S15" i="37" s="1"/>
  <c r="R44" i="37" a="1"/>
  <c r="R44" i="37" s="1"/>
  <c r="Q43" i="37"/>
  <c r="D40" i="37"/>
  <c r="M48" i="37" s="1"/>
  <c r="D34" i="37"/>
  <c r="D33" i="37"/>
  <c r="X30" i="37"/>
  <c r="T30" i="37"/>
  <c r="D30" i="37"/>
  <c r="D29" i="37"/>
  <c r="X28" i="37"/>
  <c r="T28" i="37"/>
  <c r="P28" i="37"/>
  <c r="O28" i="37"/>
  <c r="N28" i="37"/>
  <c r="M28" i="37"/>
  <c r="V9" i="37" s="1"/>
  <c r="O27" i="37"/>
  <c r="P27" i="37" s="1" a="1"/>
  <c r="P27" i="37" s="1"/>
  <c r="M27" i="37"/>
  <c r="M31" i="37" s="1"/>
  <c r="M32" i="37" s="1"/>
  <c r="I27" i="37"/>
  <c r="G27" i="37"/>
  <c r="I25" i="37"/>
  <c r="G25" i="37" s="1"/>
  <c r="C20" i="37"/>
  <c r="L4" i="37" s="1"/>
  <c r="X16" i="37"/>
  <c r="V16" i="37"/>
  <c r="X15" i="37"/>
  <c r="V15" i="37"/>
  <c r="Q15" i="37"/>
  <c r="P15" i="37"/>
  <c r="O15" i="37"/>
  <c r="L15" i="37"/>
  <c r="U9" i="37"/>
  <c r="T9" i="37"/>
  <c r="S9" i="37"/>
  <c r="R9" i="37"/>
  <c r="Q9" i="37"/>
  <c r="P9" i="37"/>
  <c r="O9" i="37"/>
  <c r="N9" i="37"/>
  <c r="M9" i="37"/>
  <c r="L9" i="37"/>
  <c r="K9" i="37"/>
  <c r="E7" i="37"/>
  <c r="U5" i="37"/>
  <c r="R5" i="37"/>
  <c r="O5" i="37"/>
  <c r="N5" i="37"/>
  <c r="U4" i="37"/>
  <c r="R4" i="37"/>
  <c r="P4" i="37"/>
  <c r="E4" i="37"/>
  <c r="E6" i="37" s="1"/>
  <c r="C4" i="37"/>
  <c r="K30" i="1"/>
  <c r="J30" i="1"/>
  <c r="J29" i="1"/>
  <c r="H29" i="1"/>
  <c r="K25" i="1"/>
  <c r="J25" i="1"/>
  <c r="J24" i="1"/>
  <c r="H24" i="1"/>
  <c r="L19" i="1"/>
  <c r="M19" i="1" s="1"/>
  <c r="K19" i="1"/>
  <c r="I19" i="1"/>
  <c r="G19" i="1"/>
  <c r="N19" i="1" s="1"/>
  <c r="N18" i="1"/>
  <c r="H30" i="1" s="1"/>
  <c r="M18" i="1"/>
  <c r="L18" i="1"/>
  <c r="K18" i="1"/>
  <c r="I18" i="1"/>
  <c r="G18" i="1"/>
  <c r="N17" i="1"/>
  <c r="K29" i="1" s="1"/>
  <c r="M17" i="1"/>
  <c r="L17" i="1"/>
  <c r="K17" i="1"/>
  <c r="I17" i="1"/>
  <c r="G17" i="1"/>
  <c r="M16" i="1"/>
  <c r="L16" i="1"/>
  <c r="K16" i="1"/>
  <c r="I16" i="1"/>
  <c r="G16" i="1"/>
  <c r="N16" i="1" s="1"/>
  <c r="N15" i="1"/>
  <c r="J27" i="1" s="1"/>
  <c r="M15" i="1"/>
  <c r="L15" i="1"/>
  <c r="K15" i="1"/>
  <c r="I15" i="1"/>
  <c r="G15" i="1"/>
  <c r="L14" i="1"/>
  <c r="M14" i="1" s="1"/>
  <c r="K14" i="1"/>
  <c r="I14" i="1"/>
  <c r="G14" i="1"/>
  <c r="N14" i="1" s="1"/>
  <c r="N13" i="1"/>
  <c r="H25" i="1" s="1"/>
  <c r="M13" i="1"/>
  <c r="L13" i="1"/>
  <c r="K13" i="1"/>
  <c r="I13" i="1"/>
  <c r="G13" i="1"/>
  <c r="N12" i="1"/>
  <c r="K24" i="1" s="1"/>
  <c r="M12" i="1"/>
  <c r="L12" i="1"/>
  <c r="K12" i="1"/>
  <c r="I12" i="1"/>
  <c r="G12" i="1"/>
  <c r="T11" i="1"/>
  <c r="M35" i="37" l="1"/>
  <c r="M34" i="37" s="1"/>
  <c r="M15" i="37"/>
  <c r="N15" i="37" s="1"/>
  <c r="I31" i="37"/>
  <c r="M42" i="37"/>
  <c r="O31" i="37"/>
  <c r="O32" i="37" s="1"/>
  <c r="O35" i="37" s="1"/>
  <c r="K15" i="37"/>
  <c r="N27" i="37" a="1"/>
  <c r="N27" i="37" s="1"/>
  <c r="N31" i="37" s="1"/>
  <c r="N32" i="37" s="1"/>
  <c r="N35" i="37" s="1"/>
  <c r="U15" i="37"/>
  <c r="W15" i="37"/>
  <c r="X33" i="37"/>
  <c r="X31" i="37"/>
  <c r="X32" i="37" s="1"/>
  <c r="J26" i="1"/>
  <c r="K26" i="1"/>
  <c r="H26" i="1"/>
  <c r="G26" i="1"/>
  <c r="D44" i="37"/>
  <c r="K28" i="1"/>
  <c r="J28" i="1"/>
  <c r="H28" i="1"/>
  <c r="G28" i="1"/>
  <c r="J31" i="1"/>
  <c r="K31" i="1"/>
  <c r="H31" i="1"/>
  <c r="G31" i="1"/>
  <c r="G27" i="1"/>
  <c r="H27" i="1"/>
  <c r="D43" i="37"/>
  <c r="G23" i="37" s="1"/>
  <c r="K27" i="1"/>
  <c r="G24" i="1"/>
  <c r="G29" i="1"/>
  <c r="G25" i="1"/>
  <c r="G30" i="1"/>
  <c r="T44" i="37"/>
  <c r="Q16" i="37"/>
  <c r="C5" i="37"/>
  <c r="C8" i="37" s="1"/>
  <c r="C7" i="37"/>
  <c r="C6" i="37"/>
  <c r="P31" i="37"/>
  <c r="P32" i="37" s="1"/>
  <c r="U16" i="37"/>
  <c r="E5" i="37"/>
  <c r="I32" i="37"/>
  <c r="P33" i="37"/>
  <c r="O33" i="37"/>
  <c r="N33" i="37"/>
  <c r="M33" i="37"/>
  <c r="M36" i="37" l="1"/>
  <c r="O34" i="37"/>
  <c r="O36" i="37" s="1"/>
  <c r="W16" i="37"/>
  <c r="N34" i="37"/>
  <c r="N36" i="37" s="1"/>
  <c r="X34" i="37"/>
  <c r="M22" i="37" s="1"/>
  <c r="D24" i="37"/>
  <c r="S16" i="37"/>
  <c r="D41" i="37"/>
  <c r="P35" i="37"/>
  <c r="P34" i="37" s="1"/>
  <c r="P36" i="37" s="1"/>
  <c r="G22" i="37"/>
  <c r="G24" i="37"/>
  <c r="D42" i="37"/>
  <c r="I33" i="37"/>
  <c r="I47" i="37" l="1"/>
  <c r="I19" i="37"/>
  <c r="D49" i="37" s="1"/>
  <c r="E50" i="37" s="1"/>
  <c r="K22" i="37" s="1"/>
  <c r="G19" i="37"/>
  <c r="C19" i="37"/>
  <c r="L5" i="37" s="1"/>
  <c r="N37" i="37" l="1"/>
  <c r="P37" i="37"/>
  <c r="I48" i="37"/>
  <c r="L22" i="37" s="1"/>
  <c r="R46" i="37"/>
  <c r="I20" i="37"/>
  <c r="P5" i="37"/>
  <c r="I38" i="37"/>
  <c r="M43" i="37"/>
  <c r="O22" i="37" s="1"/>
  <c r="I39" i="37"/>
  <c r="Q46" i="37"/>
  <c r="M49" i="37"/>
  <c r="P22" i="37" s="1"/>
  <c r="T33" i="37"/>
  <c r="N22" i="37" s="1"/>
  <c r="I34" i="37"/>
  <c r="R22" i="37" s="1"/>
  <c r="M37" i="37"/>
  <c r="O37" i="37"/>
  <c r="S22" i="37" l="1"/>
  <c r="R15" i="37"/>
  <c r="Q47" i="37"/>
  <c r="Q48" i="37" s="1"/>
  <c r="I40" i="37"/>
  <c r="I42" i="37"/>
  <c r="Q22" i="37" s="1"/>
  <c r="T46" i="37"/>
  <c r="S46" i="37"/>
  <c r="R16" i="37"/>
  <c r="R47" i="37"/>
  <c r="R48" i="37" s="1"/>
  <c r="T15" i="37" l="1"/>
  <c r="S47" i="37"/>
  <c r="S48" i="37" s="1"/>
  <c r="T16" i="37"/>
  <c r="T47" i="37"/>
  <c r="T48" i="37" s="1"/>
  <c r="T22" i="37" l="1"/>
</calcChain>
</file>

<file path=xl/sharedStrings.xml><?xml version="1.0" encoding="utf-8"?>
<sst xmlns="http://schemas.openxmlformats.org/spreadsheetml/2006/main" count="440" uniqueCount="261">
  <si>
    <t>Propiedades Aceros</t>
  </si>
  <si>
    <t>Pernos</t>
  </si>
  <si>
    <t>Fnv</t>
  </si>
  <si>
    <t>Fnt</t>
  </si>
  <si>
    <t>Hilo en plano</t>
  </si>
  <si>
    <t>Perforación</t>
  </si>
  <si>
    <r>
      <rPr>
        <b/>
        <sz val="11"/>
        <color theme="1"/>
        <rFont val="Calibri"/>
        <family val="2"/>
      </rPr>
      <t>Ω</t>
    </r>
    <r>
      <rPr>
        <b/>
        <sz val="9"/>
        <color theme="1"/>
        <rFont val="Calibri"/>
        <family val="2"/>
      </rPr>
      <t xml:space="preserve"> Slip Crit</t>
    </r>
  </si>
  <si>
    <t>Filete</t>
  </si>
  <si>
    <t>Planchas</t>
  </si>
  <si>
    <t>%</t>
  </si>
  <si>
    <r>
      <rPr>
        <b/>
        <sz val="11"/>
        <color theme="1"/>
        <rFont val="Calibri"/>
        <family val="2"/>
      </rPr>
      <t>F</t>
    </r>
    <r>
      <rPr>
        <b/>
        <vertAlign val="subscript"/>
        <sz val="11"/>
        <color theme="1"/>
        <rFont val="Calibri"/>
        <family val="2"/>
      </rPr>
      <t>y</t>
    </r>
  </si>
  <si>
    <r>
      <rPr>
        <b/>
        <sz val="11"/>
        <color theme="1"/>
        <rFont val="Calibri"/>
        <family val="2"/>
      </rPr>
      <t>F</t>
    </r>
    <r>
      <rPr>
        <b/>
        <vertAlign val="subscript"/>
        <sz val="11"/>
        <color theme="1"/>
        <rFont val="Calibri"/>
        <family val="2"/>
      </rPr>
      <t>u</t>
    </r>
  </si>
  <si>
    <t>[kgf/mm2]</t>
  </si>
  <si>
    <t>Estandar</t>
  </si>
  <si>
    <t>Acero</t>
  </si>
  <si>
    <t>[ksi]</t>
  </si>
  <si>
    <t>A325</t>
  </si>
  <si>
    <t>Ranura Corta</t>
  </si>
  <si>
    <t>A36</t>
  </si>
  <si>
    <t>A490</t>
  </si>
  <si>
    <t>Ranura Larga</t>
  </si>
  <si>
    <t>A53 Gr. B</t>
  </si>
  <si>
    <t>Tubo</t>
  </si>
  <si>
    <t>A500 Gr.A ○</t>
  </si>
  <si>
    <t>Cajon</t>
  </si>
  <si>
    <t>A500 Gr.A □</t>
  </si>
  <si>
    <t>A500 Gr.B ○</t>
  </si>
  <si>
    <t>φ</t>
  </si>
  <si>
    <r>
      <rPr>
        <b/>
        <sz val="11"/>
        <color theme="1"/>
        <rFont val="Calibri"/>
        <family val="2"/>
      </rPr>
      <t>L</t>
    </r>
    <r>
      <rPr>
        <b/>
        <vertAlign val="subscript"/>
        <sz val="11"/>
        <color theme="1"/>
        <rFont val="Calibri"/>
        <family val="2"/>
      </rPr>
      <t>vmin</t>
    </r>
  </si>
  <si>
    <r>
      <rPr>
        <b/>
        <sz val="11"/>
        <color theme="1"/>
        <rFont val="Calibri"/>
        <family val="2"/>
      </rPr>
      <t>S</t>
    </r>
    <r>
      <rPr>
        <b/>
        <vertAlign val="subscript"/>
        <sz val="11"/>
        <color theme="1"/>
        <rFont val="Calibri"/>
        <family val="2"/>
      </rPr>
      <t>min</t>
    </r>
  </si>
  <si>
    <t>φ'</t>
  </si>
  <si>
    <t>A</t>
  </si>
  <si>
    <t>A500 Gr.B □</t>
  </si>
  <si>
    <t>[in]</t>
  </si>
  <si>
    <t>[mm]</t>
  </si>
  <si>
    <r>
      <rPr>
        <b/>
        <sz val="11"/>
        <color theme="1"/>
        <rFont val="Calibri"/>
        <family val="2"/>
      </rPr>
      <t>[mm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>]</t>
    </r>
  </si>
  <si>
    <t>A500 Gr.C ○</t>
  </si>
  <si>
    <t>A500 Gr.C □</t>
  </si>
  <si>
    <t>A501 Gr.A</t>
  </si>
  <si>
    <t>A501 Gr.B</t>
  </si>
  <si>
    <t>A529 Gr.50</t>
  </si>
  <si>
    <t>A529 Gr.55</t>
  </si>
  <si>
    <t>A572 Gr.42</t>
  </si>
  <si>
    <t>A572 Gr.50</t>
  </si>
  <si>
    <t>A572 Gr.55</t>
  </si>
  <si>
    <t>A572 Gr.60</t>
  </si>
  <si>
    <r>
      <rPr>
        <b/>
        <sz val="11"/>
        <color theme="1"/>
        <rFont val="Calibri"/>
        <family val="2"/>
      </rPr>
      <t>V</t>
    </r>
    <r>
      <rPr>
        <b/>
        <vertAlign val="subscript"/>
        <sz val="11"/>
        <color theme="1"/>
        <rFont val="Calibri"/>
        <family val="2"/>
      </rPr>
      <t>a</t>
    </r>
  </si>
  <si>
    <r>
      <rPr>
        <b/>
        <sz val="11"/>
        <color theme="1"/>
        <rFont val="Calibri"/>
        <family val="2"/>
      </rPr>
      <t>T</t>
    </r>
    <r>
      <rPr>
        <b/>
        <vertAlign val="subscript"/>
        <sz val="11"/>
        <color theme="1"/>
        <rFont val="Calibri"/>
        <family val="2"/>
      </rPr>
      <t>a</t>
    </r>
  </si>
  <si>
    <r>
      <rPr>
        <b/>
        <sz val="11"/>
        <color theme="1"/>
        <rFont val="Calibri"/>
        <family val="2"/>
      </rPr>
      <t>T</t>
    </r>
    <r>
      <rPr>
        <b/>
        <vertAlign val="subscript"/>
        <sz val="11"/>
        <color theme="1"/>
        <rFont val="Calibri"/>
        <family val="2"/>
      </rPr>
      <t>b</t>
    </r>
  </si>
  <si>
    <t>A572 Gr.65</t>
  </si>
  <si>
    <t>A618 Gr.I</t>
  </si>
  <si>
    <t>[kgf]</t>
  </si>
  <si>
    <t>A618 Gr.II</t>
  </si>
  <si>
    <t>A618 Gr.III</t>
  </si>
  <si>
    <t>A913 50</t>
  </si>
  <si>
    <t>A913 60</t>
  </si>
  <si>
    <t>A913 65</t>
  </si>
  <si>
    <t>A913 70</t>
  </si>
  <si>
    <t>A992</t>
  </si>
  <si>
    <t>A242</t>
  </si>
  <si>
    <t>Tipo de Union</t>
  </si>
  <si>
    <t>Empalme</t>
  </si>
  <si>
    <t>Eje</t>
  </si>
  <si>
    <t>R</t>
  </si>
  <si>
    <r>
      <rPr>
        <b/>
        <sz val="11"/>
        <color theme="1"/>
        <rFont val="Calibri"/>
        <family val="2"/>
      </rPr>
      <t>h</t>
    </r>
    <r>
      <rPr>
        <b/>
        <vertAlign val="subscript"/>
        <sz val="11"/>
        <color theme="1"/>
        <rFont val="Calibri"/>
        <family val="2"/>
      </rPr>
      <t>f</t>
    </r>
  </si>
  <si>
    <t>μ</t>
  </si>
  <si>
    <t>N°</t>
  </si>
  <si>
    <t>Opcion</t>
  </si>
  <si>
    <t>Soldadura</t>
  </si>
  <si>
    <t>Perfil</t>
  </si>
  <si>
    <t>Ángulo</t>
  </si>
  <si>
    <t>Enrejado</t>
  </si>
  <si>
    <t>Conexión</t>
  </si>
  <si>
    <t>TL</t>
  </si>
  <si>
    <t>Atiesador</t>
  </si>
  <si>
    <t>A588</t>
  </si>
  <si>
    <t>Aplast.</t>
  </si>
  <si>
    <t>Viga</t>
  </si>
  <si>
    <t>x</t>
  </si>
  <si>
    <t>Si</t>
  </si>
  <si>
    <t>Tipo II</t>
  </si>
  <si>
    <t>L</t>
  </si>
  <si>
    <t>Cajón</t>
  </si>
  <si>
    <t>Alma</t>
  </si>
  <si>
    <t>Calce</t>
  </si>
  <si>
    <t>Vertical</t>
  </si>
  <si>
    <t>Plegado</t>
  </si>
  <si>
    <t>Traccion</t>
  </si>
  <si>
    <t>Ala</t>
  </si>
  <si>
    <t>A847</t>
  </si>
  <si>
    <t>Slip Critical</t>
  </si>
  <si>
    <t>Columna</t>
  </si>
  <si>
    <t>y</t>
  </si>
  <si>
    <t>No</t>
  </si>
  <si>
    <t>Tipo C</t>
  </si>
  <si>
    <t>XL</t>
  </si>
  <si>
    <t>Horizontal</t>
  </si>
  <si>
    <t>Laminado</t>
  </si>
  <si>
    <t>Momento</t>
  </si>
  <si>
    <t>Cuerda</t>
  </si>
  <si>
    <t>Fexx</t>
  </si>
  <si>
    <r>
      <rPr>
        <b/>
        <sz val="11"/>
        <color theme="1"/>
        <rFont val="Calibri"/>
        <family val="2"/>
      </rPr>
      <t>C</t>
    </r>
    <r>
      <rPr>
        <b/>
        <vertAlign val="subscript"/>
        <sz val="11"/>
        <color theme="1"/>
        <rFont val="Calibri"/>
        <family val="2"/>
      </rPr>
      <t>1</t>
    </r>
  </si>
  <si>
    <t>Puntal</t>
  </si>
  <si>
    <t>Splice</t>
  </si>
  <si>
    <t>C</t>
  </si>
  <si>
    <t>C.J.P</t>
  </si>
  <si>
    <t>Montante</t>
  </si>
  <si>
    <t>CA</t>
  </si>
  <si>
    <t>E60</t>
  </si>
  <si>
    <t>Tornapunta</t>
  </si>
  <si>
    <t>IC</t>
  </si>
  <si>
    <t>E70</t>
  </si>
  <si>
    <t>Diagonal</t>
  </si>
  <si>
    <t>CJ</t>
  </si>
  <si>
    <t>E80</t>
  </si>
  <si>
    <t>Clip</t>
  </si>
  <si>
    <t>TUBO</t>
  </si>
  <si>
    <t>E90</t>
  </si>
  <si>
    <t>T</t>
  </si>
  <si>
    <t>E100</t>
  </si>
  <si>
    <t>H</t>
  </si>
  <si>
    <t>E110</t>
  </si>
  <si>
    <t>a</t>
  </si>
  <si>
    <t>k</t>
  </si>
  <si>
    <t>X</t>
  </si>
  <si>
    <t>Escuadría</t>
  </si>
  <si>
    <t>Carga de Diseño</t>
  </si>
  <si>
    <t>Filas</t>
  </si>
  <si>
    <t>Verificaciones - Factores de Utilización [FU]</t>
  </si>
  <si>
    <t>Cantidad Pernos</t>
  </si>
  <si>
    <t>Desgarramiento</t>
  </si>
  <si>
    <t>Fluencia Area Bruta</t>
  </si>
  <si>
    <t>Fractura Area Neta</t>
  </si>
  <si>
    <t>Pandeo</t>
  </si>
  <si>
    <t>Propiedades del perfil</t>
  </si>
  <si>
    <t>Altura</t>
  </si>
  <si>
    <t>B</t>
  </si>
  <si>
    <t>t</t>
  </si>
  <si>
    <t>Área</t>
  </si>
  <si>
    <t>Propieades del Acero</t>
  </si>
  <si>
    <t>FU</t>
  </si>
  <si>
    <t>Bloque de desg. 1</t>
  </si>
  <si>
    <t>Tens. Fluencia Tracc.</t>
  </si>
  <si>
    <t>Tens. Ruptura Tracc.</t>
  </si>
  <si>
    <t>Bloque de desg. 2</t>
  </si>
  <si>
    <t>Datos de conexión</t>
  </si>
  <si>
    <t>Rn</t>
  </si>
  <si>
    <t>Tipo Pernos</t>
  </si>
  <si>
    <t>Diámetro Perno</t>
  </si>
  <si>
    <t>Diámetro Nom. Perf.</t>
  </si>
  <si>
    <t>Electrodo</t>
  </si>
  <si>
    <t>Corte adm. perno</t>
  </si>
  <si>
    <t>Tracción adm. perno</t>
  </si>
  <si>
    <t>Distancia mín. bordes</t>
  </si>
  <si>
    <t>w</t>
  </si>
  <si>
    <t>Espac. Mín. entre pernos</t>
  </si>
  <si>
    <t>Tipo perforación</t>
  </si>
  <si>
    <t>Tipo unión</t>
  </si>
  <si>
    <t>er</t>
  </si>
  <si>
    <t>Br</t>
  </si>
  <si>
    <t>K</t>
  </si>
  <si>
    <t>r</t>
  </si>
  <si>
    <t>[%]</t>
  </si>
  <si>
    <t>Fe</t>
  </si>
  <si>
    <t>Fcr</t>
  </si>
  <si>
    <t>Tipo de conexión</t>
  </si>
  <si>
    <t>b</t>
  </si>
  <si>
    <t>u</t>
  </si>
  <si>
    <t>ep min</t>
  </si>
  <si>
    <t>φ pernos</t>
  </si>
  <si>
    <t xml:space="preserve">Calidad </t>
  </si>
  <si>
    <t>S1 min</t>
  </si>
  <si>
    <t>Lv min</t>
  </si>
  <si>
    <t>Lh min</t>
  </si>
  <si>
    <t>P2</t>
  </si>
  <si>
    <t>N° min. Pernos</t>
  </si>
  <si>
    <t>N° pernos</t>
  </si>
  <si>
    <t>N</t>
  </si>
  <si>
    <t>Gusset</t>
  </si>
  <si>
    <t>eg</t>
  </si>
  <si>
    <t>eg [mm]</t>
  </si>
  <si>
    <t>Bg</t>
  </si>
  <si>
    <t>L3 max</t>
  </si>
  <si>
    <t>KL/r</t>
  </si>
  <si>
    <t>Soldadura Gusset - Elemento receptor</t>
  </si>
  <si>
    <t>filas</t>
  </si>
  <si>
    <t>Va</t>
  </si>
  <si>
    <t>Ta</t>
  </si>
  <si>
    <t>S2</t>
  </si>
  <si>
    <t>S1</t>
  </si>
  <si>
    <t>Lv</t>
  </si>
  <si>
    <t>eg min</t>
  </si>
  <si>
    <t>L1 min</t>
  </si>
  <si>
    <t>Bp min</t>
  </si>
  <si>
    <t>S2 min</t>
  </si>
  <si>
    <t>w [mm]</t>
  </si>
  <si>
    <t>Soldadura Gusset</t>
  </si>
  <si>
    <t>Soldadura Refuerzo</t>
  </si>
  <si>
    <t>U</t>
  </si>
  <si>
    <t>N° filas pernos</t>
  </si>
  <si>
    <t>D</t>
  </si>
  <si>
    <t>Ancho</t>
  </si>
  <si>
    <t>Refuerzo</t>
  </si>
  <si>
    <t>Factor U</t>
  </si>
  <si>
    <t>Factores para aplast</t>
  </si>
  <si>
    <t>Dint</t>
  </si>
  <si>
    <t>Bg min</t>
  </si>
  <si>
    <t>Soldadura Perfil</t>
  </si>
  <si>
    <t>Soldadura gusset a elemento receptor</t>
  </si>
  <si>
    <t>Longitudes de Pandeo de Gusset</t>
  </si>
  <si>
    <t>Lr min</t>
  </si>
  <si>
    <t>w min</t>
  </si>
  <si>
    <t>Soldado a 1 lado</t>
  </si>
  <si>
    <t>Soldado a 2 lados</t>
  </si>
  <si>
    <t>L2 min</t>
  </si>
  <si>
    <t>L3 max [mm]</t>
  </si>
  <si>
    <t>T 2 lados</t>
  </si>
  <si>
    <t xml:space="preserve">Espesor </t>
  </si>
  <si>
    <r>
      <rPr>
        <b/>
        <sz val="11"/>
        <color theme="1"/>
        <rFont val="Calibri"/>
        <family val="2"/>
      </rPr>
      <t>[mm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>]</t>
    </r>
  </si>
  <si>
    <t>Pandeo por compresión del gusset</t>
  </si>
  <si>
    <t>Soldadura Perfil - Paleta</t>
  </si>
  <si>
    <t>Soldadura Refuerzo Perfil</t>
  </si>
  <si>
    <t>Acero Cajón</t>
  </si>
  <si>
    <r>
      <rPr>
        <sz val="11"/>
        <color theme="1"/>
        <rFont val="Calibri"/>
        <family val="2"/>
      </rPr>
      <t>w</t>
    </r>
    <r>
      <rPr>
        <vertAlign val="subscript"/>
        <sz val="11"/>
        <color theme="1"/>
        <rFont val="Calibri"/>
        <family val="2"/>
      </rPr>
      <t>min</t>
    </r>
  </si>
  <si>
    <r>
      <rPr>
        <sz val="11"/>
        <color theme="1"/>
        <rFont val="Calibri"/>
        <family val="2"/>
      </rPr>
      <t>w</t>
    </r>
    <r>
      <rPr>
        <vertAlign val="subscript"/>
        <sz val="11"/>
        <color theme="1"/>
        <rFont val="Calibri"/>
        <family val="2"/>
      </rPr>
      <t>min</t>
    </r>
  </si>
  <si>
    <r>
      <rPr>
        <sz val="11"/>
        <color theme="1"/>
        <rFont val="Calibri"/>
        <family val="2"/>
      </rPr>
      <t>F</t>
    </r>
    <r>
      <rPr>
        <vertAlign val="subscript"/>
        <sz val="11"/>
        <color theme="1"/>
        <rFont val="Calibri"/>
        <family val="2"/>
      </rPr>
      <t>y</t>
    </r>
  </si>
  <si>
    <t>Tracción y desgarramiento del gusset</t>
  </si>
  <si>
    <r>
      <rPr>
        <sz val="11"/>
        <color theme="1"/>
        <rFont val="Calibri"/>
        <family val="2"/>
      </rPr>
      <t>F</t>
    </r>
    <r>
      <rPr>
        <vertAlign val="subscript"/>
        <sz val="11"/>
        <color theme="1"/>
        <rFont val="Calibri"/>
        <family val="2"/>
      </rPr>
      <t>u</t>
    </r>
  </si>
  <si>
    <r>
      <rPr>
        <sz val="11"/>
        <color theme="1"/>
        <rFont val="Calibri"/>
        <family val="2"/>
      </rPr>
      <t>F</t>
    </r>
    <r>
      <rPr>
        <vertAlign val="subscript"/>
        <sz val="11"/>
        <color theme="1"/>
        <rFont val="Calibri"/>
        <family val="2"/>
      </rPr>
      <t>exx</t>
    </r>
  </si>
  <si>
    <r>
      <rPr>
        <sz val="11"/>
        <color theme="1"/>
        <rFont val="Calibri"/>
        <family val="2"/>
      </rPr>
      <t>F</t>
    </r>
    <r>
      <rPr>
        <vertAlign val="subscript"/>
        <sz val="11"/>
        <color theme="1"/>
        <rFont val="Calibri"/>
        <family val="2"/>
      </rPr>
      <t>exx</t>
    </r>
  </si>
  <si>
    <r>
      <rPr>
        <sz val="11"/>
        <color theme="1"/>
        <rFont val="Calibri"/>
        <family val="2"/>
      </rPr>
      <t>T</t>
    </r>
    <r>
      <rPr>
        <vertAlign val="subscript"/>
        <sz val="11"/>
        <color theme="1"/>
        <rFont val="Calibri"/>
        <family val="2"/>
      </rPr>
      <t>desg3</t>
    </r>
  </si>
  <si>
    <r>
      <rPr>
        <sz val="11"/>
        <color theme="1"/>
        <rFont val="Calibri"/>
        <family val="2"/>
      </rPr>
      <t>L</t>
    </r>
    <r>
      <rPr>
        <vertAlign val="subscript"/>
        <sz val="11"/>
        <color theme="1"/>
        <rFont val="Calibri"/>
        <family val="2"/>
      </rPr>
      <t>1</t>
    </r>
  </si>
  <si>
    <r>
      <rPr>
        <sz val="11"/>
        <color theme="1"/>
        <rFont val="Calibri"/>
        <family val="2"/>
      </rPr>
      <t>L</t>
    </r>
    <r>
      <rPr>
        <vertAlign val="subscript"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/2</t>
    </r>
  </si>
  <si>
    <t>Acero Paleta</t>
  </si>
  <si>
    <r>
      <rPr>
        <sz val="11"/>
        <color theme="1"/>
        <rFont val="Calibri"/>
        <family val="2"/>
      </rPr>
      <t>T</t>
    </r>
    <r>
      <rPr>
        <vertAlign val="subscript"/>
        <sz val="11"/>
        <color theme="1"/>
        <rFont val="Calibri"/>
        <family val="2"/>
      </rPr>
      <t>desg4</t>
    </r>
  </si>
  <si>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weld</t>
    </r>
  </si>
  <si>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ref</t>
    </r>
  </si>
  <si>
    <r>
      <rPr>
        <sz val="11"/>
        <color theme="1"/>
        <rFont val="Calibri"/>
        <family val="2"/>
      </rPr>
      <t>F</t>
    </r>
    <r>
      <rPr>
        <vertAlign val="subscript"/>
        <sz val="11"/>
        <color theme="1"/>
        <rFont val="Calibri"/>
        <family val="2"/>
      </rPr>
      <t>y</t>
    </r>
  </si>
  <si>
    <r>
      <rPr>
        <sz val="11"/>
        <color theme="1"/>
        <rFont val="Calibri"/>
        <family val="2"/>
      </rPr>
      <t>T</t>
    </r>
    <r>
      <rPr>
        <vertAlign val="subscript"/>
        <sz val="11"/>
        <color theme="1"/>
        <rFont val="Calibri"/>
        <family val="2"/>
      </rPr>
      <t>desg</t>
    </r>
  </si>
  <si>
    <r>
      <rPr>
        <sz val="11"/>
        <color theme="1"/>
        <rFont val="Calibri"/>
        <family val="2"/>
      </rPr>
      <t>T</t>
    </r>
    <r>
      <rPr>
        <vertAlign val="subscript"/>
        <sz val="11"/>
        <color theme="1"/>
        <rFont val="Calibri"/>
        <family val="2"/>
      </rPr>
      <t>ref</t>
    </r>
  </si>
  <si>
    <r>
      <rPr>
        <sz val="11"/>
        <color theme="1"/>
        <rFont val="Calibri"/>
        <family val="2"/>
      </rPr>
      <t>F</t>
    </r>
    <r>
      <rPr>
        <vertAlign val="subscript"/>
        <sz val="11"/>
        <color theme="1"/>
        <rFont val="Calibri"/>
        <family val="2"/>
      </rPr>
      <t>u</t>
    </r>
  </si>
  <si>
    <r>
      <rPr>
        <b/>
        <sz val="11"/>
        <color theme="1"/>
        <rFont val="Calibri"/>
        <family val="2"/>
      </rPr>
      <t>[kgf/mm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>]</t>
    </r>
  </si>
  <si>
    <r>
      <rPr>
        <b/>
        <sz val="11"/>
        <color theme="1"/>
        <rFont val="Calibri"/>
        <family val="2"/>
      </rPr>
      <t>[kgf/mm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>]</t>
    </r>
  </si>
  <si>
    <t>Aplastamiento del gusset</t>
  </si>
  <si>
    <t>eg1</t>
  </si>
  <si>
    <t>eg2</t>
  </si>
  <si>
    <t>Fluencia área bruta del gusset</t>
  </si>
  <si>
    <r>
      <rPr>
        <sz val="11"/>
        <color theme="1"/>
        <rFont val="Calibri"/>
        <family val="2"/>
      </rPr>
      <t>L</t>
    </r>
    <r>
      <rPr>
        <vertAlign val="subscript"/>
        <sz val="11"/>
        <color theme="1"/>
        <rFont val="Calibri"/>
        <family val="2"/>
      </rPr>
      <t>w</t>
    </r>
  </si>
  <si>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w</t>
    </r>
  </si>
  <si>
    <r>
      <rPr>
        <sz val="11"/>
        <color theme="1"/>
        <rFont val="Calibri"/>
        <family val="2"/>
      </rPr>
      <t>L</t>
    </r>
    <r>
      <rPr>
        <vertAlign val="subscript"/>
        <sz val="11"/>
        <color theme="1"/>
        <rFont val="Calibri"/>
        <family val="2"/>
      </rPr>
      <t>vmin</t>
    </r>
  </si>
  <si>
    <r>
      <rPr>
        <sz val="11"/>
        <color theme="1"/>
        <rFont val="Calibri"/>
        <family val="2"/>
      </rPr>
      <t>w</t>
    </r>
    <r>
      <rPr>
        <vertAlign val="subscript"/>
        <sz val="11"/>
        <color theme="1"/>
        <rFont val="Calibri"/>
        <family val="2"/>
      </rPr>
      <t>min</t>
    </r>
  </si>
  <si>
    <r>
      <rPr>
        <sz val="11"/>
        <color theme="1"/>
        <rFont val="Calibri"/>
        <family val="2"/>
      </rPr>
      <t>S</t>
    </r>
    <r>
      <rPr>
        <vertAlign val="subscript"/>
        <sz val="11"/>
        <color theme="1"/>
        <rFont val="Calibri"/>
        <family val="2"/>
      </rPr>
      <t>min</t>
    </r>
  </si>
  <si>
    <t>Fractura del área neta del perfil</t>
  </si>
  <si>
    <t>Fractura área neta del gusset</t>
  </si>
  <si>
    <r>
      <rPr>
        <sz val="11"/>
        <color theme="1"/>
        <rFont val="Calibri"/>
        <family val="2"/>
      </rPr>
      <t>F</t>
    </r>
    <r>
      <rPr>
        <vertAlign val="subscript"/>
        <sz val="11"/>
        <color theme="1"/>
        <rFont val="Calibri"/>
        <family val="2"/>
      </rPr>
      <t>exx</t>
    </r>
  </si>
  <si>
    <r>
      <rPr>
        <sz val="11"/>
        <color theme="1"/>
        <rFont val="Calibri"/>
        <family val="2"/>
      </rPr>
      <t>L</t>
    </r>
    <r>
      <rPr>
        <vertAlign val="subscript"/>
        <sz val="11"/>
        <color theme="1"/>
        <rFont val="Calibri"/>
        <family val="2"/>
      </rPr>
      <t>2</t>
    </r>
  </si>
  <si>
    <r>
      <rPr>
        <sz val="11"/>
        <color theme="1"/>
        <rFont val="Calibri"/>
        <family val="2"/>
      </rPr>
      <t>T</t>
    </r>
    <r>
      <rPr>
        <vertAlign val="subscript"/>
        <sz val="11"/>
        <color theme="1"/>
        <rFont val="Calibri"/>
        <family val="2"/>
      </rPr>
      <t>fract</t>
    </r>
  </si>
  <si>
    <r>
      <rPr>
        <sz val="11"/>
        <color theme="1"/>
        <rFont val="Calibri"/>
        <family val="2"/>
      </rPr>
      <t>B</t>
    </r>
    <r>
      <rPr>
        <vertAlign val="subscript"/>
        <sz val="11"/>
        <color theme="1"/>
        <rFont val="Calibri"/>
        <family val="2"/>
      </rPr>
      <t>p</t>
    </r>
  </si>
  <si>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weld</t>
    </r>
  </si>
  <si>
    <r>
      <rPr>
        <sz val="11"/>
        <color theme="1"/>
        <rFont val="Calibri"/>
        <family val="2"/>
      </rPr>
      <t>N</t>
    </r>
    <r>
      <rPr>
        <vertAlign val="subscript"/>
        <sz val="11"/>
        <color theme="1"/>
        <rFont val="Calibri"/>
        <family val="2"/>
      </rPr>
      <t>min</t>
    </r>
  </si>
  <si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</sst>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8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1"/>
      <name val="Calibri"/>
      <family val="2"/>
    </font>
    <font>
      <sz val="9"/>
      <color theme="1"/>
      <name val="Calibri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Calibri"/>
      <family val="2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vertAlign val="sub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</font>
    <font>
      <vertAlign val="subscript"/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FFD965"/>
        <bgColor rgb="FFFFD965"/>
      </patternFill>
    </fill>
    <fill>
      <patternFill patternType="solid">
        <fgColor rgb="FFA8D08D"/>
        <bgColor rgb="FFA8D08D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theme="0"/>
      </patternFill>
    </fill>
  </fills>
  <borders count="2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164" fontId="2" fillId="0" borderId="1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/>
    </xf>
    <xf numFmtId="12" fontId="2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1" fontId="5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 shrinkToFit="1"/>
    </xf>
    <xf numFmtId="0" fontId="11" fillId="3" borderId="1" xfId="0" applyFont="1" applyFill="1" applyBorder="1" applyAlignment="1">
      <alignment horizontal="center" vertical="center"/>
    </xf>
    <xf numFmtId="165" fontId="9" fillId="3" borderId="1" xfId="0" applyNumberFormat="1" applyFont="1" applyFill="1" applyBorder="1" applyAlignment="1">
      <alignment horizontal="center" vertical="center"/>
    </xf>
    <xf numFmtId="0" fontId="2" fillId="4" borderId="9" xfId="0" applyFont="1" applyFill="1" applyBorder="1"/>
    <xf numFmtId="0" fontId="2" fillId="4" borderId="9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1" fontId="2" fillId="4" borderId="9" xfId="0" applyNumberFormat="1" applyFont="1" applyFill="1" applyBorder="1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9" xfId="0" applyFont="1" applyFill="1" applyBorder="1"/>
    <xf numFmtId="0" fontId="1" fillId="4" borderId="9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vertical="center"/>
    </xf>
    <xf numFmtId="1" fontId="2" fillId="3" borderId="1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1" fontId="2" fillId="5" borderId="1" xfId="0" applyNumberFormat="1" applyFont="1" applyFill="1" applyBorder="1" applyAlignment="1">
      <alignment horizontal="center" vertical="center"/>
    </xf>
    <xf numFmtId="12" fontId="2" fillId="3" borderId="1" xfId="0" applyNumberFormat="1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12" fontId="2" fillId="4" borderId="9" xfId="0" applyNumberFormat="1" applyFont="1" applyFill="1" applyBorder="1" applyAlignment="1">
      <alignment horizontal="center" vertical="center"/>
    </xf>
    <xf numFmtId="12" fontId="2" fillId="4" borderId="9" xfId="0" applyNumberFormat="1" applyFont="1" applyFill="1" applyBorder="1" applyAlignment="1">
      <alignment horizontal="left" vertical="center"/>
    </xf>
    <xf numFmtId="9" fontId="2" fillId="4" borderId="1" xfId="0" applyNumberFormat="1" applyFon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2" fillId="4" borderId="9" xfId="0" applyNumberFormat="1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2" fontId="2" fillId="5" borderId="1" xfId="0" applyNumberFormat="1" applyFont="1" applyFill="1" applyBorder="1" applyAlignment="1">
      <alignment horizontal="center" vertical="center"/>
    </xf>
    <xf numFmtId="12" fontId="2" fillId="4" borderId="1" xfId="0" applyNumberFormat="1" applyFont="1" applyFill="1" applyBorder="1" applyAlignment="1">
      <alignment horizontal="center" vertical="center"/>
    </xf>
    <xf numFmtId="164" fontId="1" fillId="4" borderId="9" xfId="0" applyNumberFormat="1" applyFont="1" applyFill="1" applyBorder="1" applyAlignment="1">
      <alignment horizontal="left" vertical="center"/>
    </xf>
    <xf numFmtId="9" fontId="2" fillId="4" borderId="9" xfId="0" applyNumberFormat="1" applyFont="1" applyFill="1" applyBorder="1" applyAlignment="1">
      <alignment horizontal="center" vertical="center"/>
    </xf>
    <xf numFmtId="164" fontId="8" fillId="5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4" borderId="9" xfId="0" applyFont="1" applyFill="1" applyBorder="1" applyAlignment="1">
      <alignment horizontal="right"/>
    </xf>
    <xf numFmtId="0" fontId="2" fillId="4" borderId="9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center"/>
    </xf>
    <xf numFmtId="9" fontId="2" fillId="4" borderId="9" xfId="0" applyNumberFormat="1" applyFont="1" applyFill="1" applyBorder="1" applyAlignment="1">
      <alignment horizontal="right" vertical="center"/>
    </xf>
    <xf numFmtId="2" fontId="2" fillId="4" borderId="1" xfId="0" applyNumberFormat="1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2" fillId="4" borderId="22" xfId="0" applyFont="1" applyFill="1" applyBorder="1" applyAlignment="1">
      <alignment horizontal="right" vertical="center"/>
    </xf>
    <xf numFmtId="164" fontId="2" fillId="4" borderId="9" xfId="0" applyNumberFormat="1" applyFont="1" applyFill="1" applyBorder="1" applyAlignment="1">
      <alignment horizontal="center"/>
    </xf>
    <xf numFmtId="12" fontId="2" fillId="4" borderId="9" xfId="0" applyNumberFormat="1" applyFont="1" applyFill="1" applyBorder="1" applyAlignment="1">
      <alignment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/>
    </xf>
    <xf numFmtId="164" fontId="2" fillId="5" borderId="10" xfId="0" applyNumberFormat="1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vertical="center"/>
    </xf>
    <xf numFmtId="164" fontId="2" fillId="4" borderId="22" xfId="0" applyNumberFormat="1" applyFont="1" applyFill="1" applyBorder="1" applyAlignment="1">
      <alignment vertical="center"/>
    </xf>
    <xf numFmtId="164" fontId="2" fillId="4" borderId="2" xfId="0" applyNumberFormat="1" applyFont="1" applyFill="1" applyBorder="1" applyAlignment="1">
      <alignment horizontal="center" vertical="center"/>
    </xf>
    <xf numFmtId="0" fontId="2" fillId="4" borderId="21" xfId="0" applyFont="1" applyFill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0" fillId="7" borderId="0" xfId="0" applyFill="1"/>
    <xf numFmtId="0" fontId="1" fillId="2" borderId="7" xfId="0" applyFont="1" applyFill="1" applyBorder="1" applyAlignment="1">
      <alignment horizontal="center" vertical="center"/>
    </xf>
    <xf numFmtId="1" fontId="2" fillId="0" borderId="20" xfId="0" applyNumberFormat="1" applyFon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vertical="center"/>
    </xf>
    <xf numFmtId="1" fontId="2" fillId="8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7" fillId="0" borderId="3" xfId="0" applyFont="1" applyBorder="1"/>
    <xf numFmtId="0" fontId="1" fillId="2" borderId="4" xfId="0" applyFont="1" applyFill="1" applyBorder="1" applyAlignment="1">
      <alignment horizontal="center" vertical="center"/>
    </xf>
    <xf numFmtId="0" fontId="7" fillId="0" borderId="8" xfId="0" applyFont="1" applyBorder="1"/>
    <xf numFmtId="0" fontId="7" fillId="0" borderId="5" xfId="0" applyFont="1" applyBorder="1"/>
    <xf numFmtId="0" fontId="2" fillId="5" borderId="4" xfId="0" applyFont="1" applyFill="1" applyBorder="1" applyAlignment="1">
      <alignment horizontal="center" vertical="center"/>
    </xf>
    <xf numFmtId="0" fontId="7" fillId="0" borderId="12" xfId="0" applyFont="1" applyBorder="1"/>
    <xf numFmtId="0" fontId="7" fillId="0" borderId="15" xfId="0" applyFont="1" applyBorder="1"/>
    <xf numFmtId="0" fontId="7" fillId="0" borderId="6" xfId="0" applyFont="1" applyBorder="1"/>
    <xf numFmtId="0" fontId="12" fillId="3" borderId="7" xfId="0" applyFont="1" applyFill="1" applyBorder="1" applyAlignment="1">
      <alignment horizontal="center" vertical="center" wrapText="1"/>
    </xf>
    <xf numFmtId="9" fontId="1" fillId="4" borderId="7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164" fontId="1" fillId="4" borderId="11" xfId="0" applyNumberFormat="1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1" fontId="1" fillId="4" borderId="7" xfId="0" applyNumberFormat="1" applyFont="1" applyFill="1" applyBorder="1" applyAlignment="1">
      <alignment horizontal="center" vertical="center"/>
    </xf>
    <xf numFmtId="9" fontId="1" fillId="0" borderId="7" xfId="0" applyNumberFormat="1" applyFont="1" applyBorder="1" applyAlignment="1">
      <alignment horizontal="center" vertical="center"/>
    </xf>
    <xf numFmtId="0" fontId="7" fillId="0" borderId="16" xfId="0" applyFont="1" applyBorder="1"/>
    <xf numFmtId="0" fontId="1" fillId="3" borderId="7" xfId="0" applyFont="1" applyFill="1" applyBorder="1" applyAlignment="1">
      <alignment horizontal="center" vertical="center"/>
    </xf>
    <xf numFmtId="12" fontId="1" fillId="4" borderId="7" xfId="0" applyNumberFormat="1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1" fontId="1" fillId="4" borderId="17" xfId="0" applyNumberFormat="1" applyFont="1" applyFill="1" applyBorder="1" applyAlignment="1">
      <alignment horizontal="center" vertical="center"/>
    </xf>
    <xf numFmtId="165" fontId="1" fillId="4" borderId="7" xfId="0" applyNumberFormat="1" applyFont="1" applyFill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28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72" Type="http://schemas.openxmlformats.org/officeDocument/2006/relationships/sharedStrings" Target="sharedStrings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70" Type="http://schemas.openxmlformats.org/officeDocument/2006/relationships/theme" Target="theme/theme1.xml"/><Relationship Id="rId75" Type="http://schemas.microsoft.com/office/2017/10/relationships/person" Target="persons/person.xml"/><Relationship Id="rId1" Type="http://schemas.openxmlformats.org/officeDocument/2006/relationships/worksheet" Target="worksheets/sheet1.xml"/><Relationship Id="rId74" Type="http://schemas.microsoft.com/office/2006/relationships/vbaProject" Target="vbaProject.bin"/><Relationship Id="rId73" Type="http://schemas.openxmlformats.org/officeDocument/2006/relationships/calcChain" Target="calcChain.xml"/><Relationship Id="rId6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9525</xdr:colOff>
      <xdr:row>32</xdr:row>
      <xdr:rowOff>0</xdr:rowOff>
    </xdr:from>
    <xdr:ext cx="561975" cy="2095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 txBox="1"/>
      </xdr:nvSpPr>
      <xdr:spPr>
        <a:xfrm>
          <a:off x="5065965" y="3677130"/>
          <a:ext cx="560070" cy="205740"/>
        </a:xfrm>
        <a:prstGeom prst="rect">
          <a:avLst/>
        </a:prstGeom>
        <a:noFill/>
        <a:ln>
          <a:noFill/>
        </a:ln>
      </xdr:spPr>
      <xdr:txBody>
        <a:bodyPr spcFirstLastPara="1" wrap="square" lIns="0" tIns="0" rIns="0" bIns="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6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5676900" cy="2809875"/>
    <xdr:pic>
      <xdr:nvPicPr>
        <xdr:cNvPr id="2" name="image35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5676900" cy="2809875"/>
        </a:xfrm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W71"/>
  <sheetViews>
    <sheetView zoomScale="70" zoomScaleNormal="70" workbookViewId="0">
      <selection activeCell="P31" sqref="P31"/>
    </sheetView>
  </sheetViews>
  <sheetFormatPr defaultColWidth="14.453125" defaultRowHeight="15" customHeight="1" x14ac:dyDescent="0.35"/>
  <cols>
    <col min="1" max="1" width="11.54296875" customWidth="1"/>
    <col min="2" max="2" width="15.7265625" customWidth="1"/>
    <col min="3" max="15" width="11.54296875" customWidth="1"/>
    <col min="16" max="16" width="11.453125" customWidth="1"/>
    <col min="17" max="23" width="11.54296875" customWidth="1"/>
    <col min="24" max="24" width="16.26953125" customWidth="1"/>
    <col min="25" max="29" width="11.54296875" customWidth="1"/>
    <col min="30" max="30" width="17.1796875" customWidth="1"/>
    <col min="31" max="35" width="11.54296875" customWidth="1"/>
    <col min="36" max="36" width="17.26953125" customWidth="1"/>
    <col min="37" max="40" width="11.54296875" customWidth="1"/>
  </cols>
  <sheetData>
    <row r="2" spans="1:20" ht="16.5" customHeight="1" x14ac:dyDescent="0.35">
      <c r="B2" s="1" t="s">
        <v>0</v>
      </c>
      <c r="C2" s="2"/>
      <c r="D2" s="2"/>
      <c r="E2" s="2"/>
      <c r="F2" s="1" t="s">
        <v>1</v>
      </c>
      <c r="G2" s="3" t="s">
        <v>2</v>
      </c>
      <c r="H2" s="4" t="s">
        <v>3</v>
      </c>
      <c r="J2" s="2"/>
      <c r="K2" s="2"/>
      <c r="L2" s="2"/>
      <c r="M2" s="2"/>
      <c r="N2" s="2"/>
      <c r="O2" s="2"/>
      <c r="P2" s="5"/>
      <c r="Q2" s="5"/>
      <c r="R2" s="5"/>
      <c r="S2" s="5"/>
      <c r="T2" s="5"/>
    </row>
    <row r="3" spans="1:20" ht="16.5" customHeight="1" x14ac:dyDescent="0.35">
      <c r="B3" s="2"/>
      <c r="C3" s="2"/>
      <c r="D3" s="2"/>
      <c r="E3" s="2"/>
      <c r="F3" s="2"/>
      <c r="G3" s="6" t="s">
        <v>4</v>
      </c>
      <c r="H3" s="6" t="s">
        <v>4</v>
      </c>
      <c r="K3" s="2"/>
      <c r="L3" s="3" t="s">
        <v>5</v>
      </c>
      <c r="M3" s="3" t="s">
        <v>6</v>
      </c>
      <c r="N3" s="2"/>
      <c r="O3" s="2"/>
      <c r="Q3" s="3" t="s">
        <v>7</v>
      </c>
      <c r="R3" s="3" t="s">
        <v>8</v>
      </c>
      <c r="S3" s="3" t="s">
        <v>9</v>
      </c>
      <c r="T3" s="7"/>
    </row>
    <row r="4" spans="1:20" ht="16.5" customHeight="1" x14ac:dyDescent="0.35">
      <c r="B4" s="2"/>
      <c r="C4" s="4" t="s">
        <v>10</v>
      </c>
      <c r="D4" s="4" t="s">
        <v>11</v>
      </c>
      <c r="E4" s="2"/>
      <c r="F4" s="2"/>
      <c r="G4" s="3" t="s">
        <v>12</v>
      </c>
      <c r="H4" s="3" t="s">
        <v>12</v>
      </c>
      <c r="K4" s="2"/>
      <c r="L4" s="8" t="s">
        <v>13</v>
      </c>
      <c r="M4" s="9">
        <v>1.5</v>
      </c>
      <c r="N4" s="2"/>
      <c r="O4" s="2"/>
      <c r="Q4" s="10">
        <v>3</v>
      </c>
      <c r="R4" s="9">
        <v>0</v>
      </c>
      <c r="S4" s="10">
        <v>0</v>
      </c>
      <c r="T4" s="7"/>
    </row>
    <row r="5" spans="1:20" ht="16.5" customHeight="1" x14ac:dyDescent="0.35">
      <c r="B5" s="11" t="s">
        <v>14</v>
      </c>
      <c r="C5" s="3" t="s">
        <v>15</v>
      </c>
      <c r="D5" s="3" t="s">
        <v>15</v>
      </c>
      <c r="E5" s="2"/>
      <c r="F5" s="12" t="s">
        <v>16</v>
      </c>
      <c r="G5" s="13">
        <v>38</v>
      </c>
      <c r="H5" s="13">
        <v>63.2</v>
      </c>
      <c r="K5" s="2"/>
      <c r="L5" s="8" t="s">
        <v>17</v>
      </c>
      <c r="M5" s="9">
        <v>1.76</v>
      </c>
      <c r="N5" s="2"/>
      <c r="O5" s="14"/>
      <c r="Q5" s="10">
        <v>4</v>
      </c>
      <c r="R5" s="9">
        <v>3</v>
      </c>
      <c r="S5" s="10">
        <v>5</v>
      </c>
      <c r="T5" s="7"/>
    </row>
    <row r="6" spans="1:20" ht="16.5" customHeight="1" x14ac:dyDescent="0.35">
      <c r="B6" s="12" t="s">
        <v>18</v>
      </c>
      <c r="C6" s="15">
        <v>36</v>
      </c>
      <c r="D6" s="15">
        <v>58</v>
      </c>
      <c r="E6" s="2"/>
      <c r="F6" s="12" t="s">
        <v>19</v>
      </c>
      <c r="G6" s="13">
        <v>47.8</v>
      </c>
      <c r="H6" s="13">
        <v>79.5</v>
      </c>
      <c r="K6" s="2"/>
      <c r="L6" s="8" t="s">
        <v>20</v>
      </c>
      <c r="M6" s="9">
        <v>2.14</v>
      </c>
      <c r="N6" s="2"/>
      <c r="O6" s="14"/>
      <c r="Q6" s="10">
        <v>5</v>
      </c>
      <c r="R6" s="16">
        <v>4</v>
      </c>
      <c r="S6" s="10">
        <v>10</v>
      </c>
      <c r="T6" s="7"/>
    </row>
    <row r="7" spans="1:20" ht="16.5" customHeight="1" x14ac:dyDescent="0.35">
      <c r="B7" s="12" t="s">
        <v>21</v>
      </c>
      <c r="C7" s="9">
        <v>35</v>
      </c>
      <c r="D7" s="9">
        <v>60</v>
      </c>
      <c r="E7" s="2"/>
      <c r="F7" s="17"/>
      <c r="G7" s="18"/>
      <c r="H7" s="18"/>
      <c r="I7" s="2"/>
      <c r="K7" s="2"/>
      <c r="L7" s="19"/>
      <c r="M7" s="16"/>
      <c r="N7" s="2"/>
      <c r="O7" s="14"/>
      <c r="Q7" s="10">
        <v>6</v>
      </c>
      <c r="R7" s="9">
        <v>5</v>
      </c>
      <c r="S7" s="10">
        <v>15</v>
      </c>
      <c r="T7" s="7"/>
    </row>
    <row r="8" spans="1:20" ht="16.5" customHeight="1" x14ac:dyDescent="0.35">
      <c r="A8" s="17" t="s">
        <v>22</v>
      </c>
      <c r="B8" s="12" t="s">
        <v>23</v>
      </c>
      <c r="C8" s="9">
        <v>33</v>
      </c>
      <c r="D8" s="9">
        <v>45</v>
      </c>
      <c r="E8" s="2"/>
      <c r="F8" s="17"/>
      <c r="G8" s="18"/>
      <c r="H8" s="18"/>
      <c r="I8" s="2"/>
      <c r="K8" s="2"/>
      <c r="L8" s="19"/>
      <c r="M8" s="16"/>
      <c r="N8" s="2"/>
      <c r="O8" s="14"/>
      <c r="Q8" s="10">
        <v>8</v>
      </c>
      <c r="R8" s="9">
        <v>6</v>
      </c>
      <c r="S8" s="10">
        <v>20</v>
      </c>
      <c r="T8" s="7"/>
    </row>
    <row r="9" spans="1:20" ht="16.5" customHeight="1" x14ac:dyDescent="0.35">
      <c r="A9" s="17" t="s">
        <v>24</v>
      </c>
      <c r="B9" s="12" t="s">
        <v>25</v>
      </c>
      <c r="C9" s="9">
        <v>39</v>
      </c>
      <c r="D9" s="9">
        <v>45</v>
      </c>
      <c r="E9" s="2"/>
      <c r="F9" s="2"/>
      <c r="G9" s="2"/>
      <c r="H9" s="2"/>
      <c r="I9" s="2"/>
      <c r="J9" s="2"/>
      <c r="K9" s="2"/>
      <c r="L9" s="2"/>
      <c r="M9" s="2"/>
      <c r="N9" s="2"/>
      <c r="O9" s="14"/>
      <c r="Q9" s="10">
        <v>10</v>
      </c>
      <c r="R9" s="10">
        <v>8</v>
      </c>
      <c r="S9" s="10">
        <v>25</v>
      </c>
      <c r="T9" s="7"/>
    </row>
    <row r="10" spans="1:20" ht="16.5" customHeight="1" x14ac:dyDescent="0.35">
      <c r="A10" s="17" t="s">
        <v>22</v>
      </c>
      <c r="B10" s="12" t="s">
        <v>26</v>
      </c>
      <c r="C10" s="9">
        <v>42</v>
      </c>
      <c r="D10" s="9">
        <v>58</v>
      </c>
      <c r="E10" s="2"/>
      <c r="F10" s="124" t="s">
        <v>27</v>
      </c>
      <c r="G10" s="126"/>
      <c r="H10" s="124" t="s">
        <v>28</v>
      </c>
      <c r="I10" s="126"/>
      <c r="J10" s="124" t="s">
        <v>29</v>
      </c>
      <c r="K10" s="126"/>
      <c r="L10" s="124" t="s">
        <v>30</v>
      </c>
      <c r="M10" s="126"/>
      <c r="N10" s="3" t="s">
        <v>31</v>
      </c>
      <c r="Q10" s="20">
        <v>12</v>
      </c>
      <c r="R10" s="9">
        <v>10</v>
      </c>
      <c r="S10" s="10">
        <v>30</v>
      </c>
      <c r="T10" s="7"/>
    </row>
    <row r="11" spans="1:20" ht="16.5" customHeight="1" x14ac:dyDescent="0.35">
      <c r="A11" s="17" t="s">
        <v>24</v>
      </c>
      <c r="B11" s="12" t="s">
        <v>32</v>
      </c>
      <c r="C11" s="9">
        <v>46</v>
      </c>
      <c r="D11" s="9">
        <v>58</v>
      </c>
      <c r="E11" s="2"/>
      <c r="F11" s="3" t="s">
        <v>33</v>
      </c>
      <c r="G11" s="3" t="s">
        <v>34</v>
      </c>
      <c r="H11" s="3" t="s">
        <v>33</v>
      </c>
      <c r="I11" s="3" t="s">
        <v>34</v>
      </c>
      <c r="J11" s="3" t="s">
        <v>33</v>
      </c>
      <c r="K11" s="3" t="s">
        <v>34</v>
      </c>
      <c r="L11" s="3" t="s">
        <v>33</v>
      </c>
      <c r="M11" s="3" t="s">
        <v>34</v>
      </c>
      <c r="N11" s="3" t="s">
        <v>35</v>
      </c>
      <c r="O11" s="14"/>
      <c r="Q11" s="10">
        <v>14</v>
      </c>
      <c r="R11" s="9">
        <v>12</v>
      </c>
      <c r="S11" s="10">
        <v>35</v>
      </c>
      <c r="T11" s="7">
        <f>59.1*791.7/2</f>
        <v>23394.735000000001</v>
      </c>
    </row>
    <row r="12" spans="1:20" ht="16.5" customHeight="1" x14ac:dyDescent="0.35">
      <c r="A12" s="17" t="s">
        <v>22</v>
      </c>
      <c r="B12" s="12" t="s">
        <v>36</v>
      </c>
      <c r="C12" s="9">
        <v>46</v>
      </c>
      <c r="D12" s="9">
        <v>62</v>
      </c>
      <c r="E12" s="2"/>
      <c r="F12" s="21">
        <v>0.5</v>
      </c>
      <c r="G12" s="22">
        <f t="shared" ref="G12:G19" si="0">F12*25.4</f>
        <v>12.7</v>
      </c>
      <c r="H12" s="21">
        <f>F12*1.25</f>
        <v>0.625</v>
      </c>
      <c r="I12" s="22">
        <f t="shared" ref="I12:I19" si="1">H12*25.4</f>
        <v>15.875</v>
      </c>
      <c r="J12" s="21">
        <f>2.66*F12</f>
        <v>1.33</v>
      </c>
      <c r="K12" s="22">
        <f t="shared" ref="K12:K19" si="2">J12*25.4</f>
        <v>33.781999999999996</v>
      </c>
      <c r="L12" s="21">
        <f t="shared" ref="L12:L19" si="3">F12+1/8</f>
        <v>0.625</v>
      </c>
      <c r="M12" s="22">
        <f t="shared" ref="M12:M19" si="4">L12*25.4</f>
        <v>15.875</v>
      </c>
      <c r="N12" s="13">
        <f t="shared" ref="N12:N19" si="5">PI()*G12^2/4</f>
        <v>126.67686977437442</v>
      </c>
      <c r="O12" s="2"/>
      <c r="Q12" s="10">
        <v>16</v>
      </c>
      <c r="R12" s="9">
        <v>14</v>
      </c>
      <c r="S12" s="10">
        <v>40</v>
      </c>
      <c r="T12" s="7"/>
    </row>
    <row r="13" spans="1:20" ht="16.5" customHeight="1" x14ac:dyDescent="0.35">
      <c r="A13" s="17" t="s">
        <v>24</v>
      </c>
      <c r="B13" s="12" t="s">
        <v>37</v>
      </c>
      <c r="C13" s="9">
        <v>50</v>
      </c>
      <c r="D13" s="9">
        <v>62</v>
      </c>
      <c r="E13" s="2"/>
      <c r="F13" s="21">
        <v>0.625</v>
      </c>
      <c r="G13" s="22">
        <f t="shared" si="0"/>
        <v>15.875</v>
      </c>
      <c r="H13" s="21">
        <f t="shared" ref="H13:H19" si="6">F13*1.25</f>
        <v>0.78125</v>
      </c>
      <c r="I13" s="22">
        <f t="shared" si="1"/>
        <v>19.84375</v>
      </c>
      <c r="J13" s="21">
        <f t="shared" ref="J13:J19" si="7">2.66*F13</f>
        <v>1.6625000000000001</v>
      </c>
      <c r="K13" s="22">
        <f t="shared" si="2"/>
        <v>42.227499999999999</v>
      </c>
      <c r="L13" s="21">
        <f t="shared" si="3"/>
        <v>0.75</v>
      </c>
      <c r="M13" s="22">
        <f t="shared" si="4"/>
        <v>19.049999999999997</v>
      </c>
      <c r="N13" s="13">
        <f t="shared" si="5"/>
        <v>197.93260902246004</v>
      </c>
      <c r="O13" s="2"/>
      <c r="Q13" s="10">
        <v>18</v>
      </c>
      <c r="R13" s="9">
        <v>16</v>
      </c>
      <c r="S13" s="10">
        <v>45</v>
      </c>
      <c r="T13" s="7"/>
    </row>
    <row r="14" spans="1:20" ht="16.5" customHeight="1" x14ac:dyDescent="0.35">
      <c r="B14" s="12" t="s">
        <v>38</v>
      </c>
      <c r="C14" s="9">
        <v>36</v>
      </c>
      <c r="D14" s="9">
        <v>58</v>
      </c>
      <c r="E14" s="2"/>
      <c r="F14" s="21">
        <v>0.75</v>
      </c>
      <c r="G14" s="22">
        <f t="shared" si="0"/>
        <v>19.049999999999997</v>
      </c>
      <c r="H14" s="21">
        <f t="shared" si="6"/>
        <v>0.9375</v>
      </c>
      <c r="I14" s="22">
        <f t="shared" si="1"/>
        <v>23.8125</v>
      </c>
      <c r="J14" s="21">
        <f t="shared" si="7"/>
        <v>1.9950000000000001</v>
      </c>
      <c r="K14" s="22">
        <f t="shared" si="2"/>
        <v>50.673000000000002</v>
      </c>
      <c r="L14" s="21">
        <f t="shared" si="3"/>
        <v>0.875</v>
      </c>
      <c r="M14" s="22">
        <f t="shared" si="4"/>
        <v>22.224999999999998</v>
      </c>
      <c r="N14" s="13">
        <f t="shared" si="5"/>
        <v>285.02295699234242</v>
      </c>
      <c r="O14" s="2"/>
      <c r="Q14" s="10">
        <v>20</v>
      </c>
      <c r="R14" s="9">
        <v>18</v>
      </c>
      <c r="S14" s="9">
        <v>50</v>
      </c>
      <c r="T14" s="7"/>
    </row>
    <row r="15" spans="1:20" ht="16.5" customHeight="1" x14ac:dyDescent="0.35">
      <c r="B15" s="12" t="s">
        <v>39</v>
      </c>
      <c r="C15" s="9">
        <v>50</v>
      </c>
      <c r="D15" s="9">
        <v>70</v>
      </c>
      <c r="E15" s="2"/>
      <c r="F15" s="21">
        <v>0.875</v>
      </c>
      <c r="G15" s="22">
        <f t="shared" si="0"/>
        <v>22.224999999999998</v>
      </c>
      <c r="H15" s="21">
        <f t="shared" si="6"/>
        <v>1.09375</v>
      </c>
      <c r="I15" s="22">
        <f t="shared" si="1"/>
        <v>27.78125</v>
      </c>
      <c r="J15" s="21">
        <f t="shared" si="7"/>
        <v>2.3275000000000001</v>
      </c>
      <c r="K15" s="22">
        <f t="shared" si="2"/>
        <v>59.118499999999997</v>
      </c>
      <c r="L15" s="21">
        <f t="shared" si="3"/>
        <v>1</v>
      </c>
      <c r="M15" s="22">
        <f t="shared" si="4"/>
        <v>25.4</v>
      </c>
      <c r="N15" s="13">
        <f t="shared" si="5"/>
        <v>387.94791368402161</v>
      </c>
      <c r="O15" s="2"/>
      <c r="Q15" s="10">
        <v>22</v>
      </c>
      <c r="R15" s="9">
        <v>20</v>
      </c>
      <c r="S15" s="9">
        <v>55</v>
      </c>
      <c r="T15" s="7"/>
    </row>
    <row r="16" spans="1:20" ht="16.5" customHeight="1" x14ac:dyDescent="0.35">
      <c r="B16" s="12" t="s">
        <v>40</v>
      </c>
      <c r="C16" s="9">
        <v>50</v>
      </c>
      <c r="D16" s="9">
        <v>65</v>
      </c>
      <c r="E16" s="2"/>
      <c r="F16" s="21">
        <v>1</v>
      </c>
      <c r="G16" s="22">
        <f t="shared" si="0"/>
        <v>25.4</v>
      </c>
      <c r="H16" s="21">
        <f t="shared" si="6"/>
        <v>1.25</v>
      </c>
      <c r="I16" s="22">
        <f t="shared" si="1"/>
        <v>31.75</v>
      </c>
      <c r="J16" s="21">
        <f t="shared" si="7"/>
        <v>2.66</v>
      </c>
      <c r="K16" s="22">
        <f t="shared" si="2"/>
        <v>67.563999999999993</v>
      </c>
      <c r="L16" s="21">
        <f t="shared" si="3"/>
        <v>1.125</v>
      </c>
      <c r="M16" s="22">
        <f t="shared" si="4"/>
        <v>28.574999999999999</v>
      </c>
      <c r="N16" s="13">
        <f t="shared" si="5"/>
        <v>506.7074790974977</v>
      </c>
      <c r="O16" s="2"/>
      <c r="Q16" s="10">
        <v>25</v>
      </c>
      <c r="R16" s="9">
        <v>22</v>
      </c>
      <c r="S16" s="9">
        <v>60</v>
      </c>
      <c r="T16" s="7"/>
    </row>
    <row r="17" spans="2:20" ht="16.5" customHeight="1" x14ac:dyDescent="0.35">
      <c r="B17" s="12" t="s">
        <v>41</v>
      </c>
      <c r="C17" s="9">
        <v>55</v>
      </c>
      <c r="D17" s="9">
        <v>70</v>
      </c>
      <c r="E17" s="2"/>
      <c r="F17" s="21">
        <v>1.125</v>
      </c>
      <c r="G17" s="22">
        <f t="shared" si="0"/>
        <v>28.574999999999999</v>
      </c>
      <c r="H17" s="21">
        <f t="shared" si="6"/>
        <v>1.40625</v>
      </c>
      <c r="I17" s="22">
        <f t="shared" si="1"/>
        <v>35.71875</v>
      </c>
      <c r="J17" s="21">
        <f t="shared" si="7"/>
        <v>2.9925000000000002</v>
      </c>
      <c r="K17" s="22">
        <f t="shared" si="2"/>
        <v>76.009500000000003</v>
      </c>
      <c r="L17" s="21">
        <f t="shared" si="3"/>
        <v>1.25</v>
      </c>
      <c r="M17" s="22">
        <f t="shared" si="4"/>
        <v>31.75</v>
      </c>
      <c r="N17" s="13">
        <f t="shared" si="5"/>
        <v>641.3016532327706</v>
      </c>
      <c r="O17" s="2"/>
      <c r="Q17" s="10">
        <v>28</v>
      </c>
      <c r="R17" s="9">
        <v>25</v>
      </c>
      <c r="S17" s="9">
        <v>65</v>
      </c>
      <c r="T17" s="7"/>
    </row>
    <row r="18" spans="2:20" ht="16.5" customHeight="1" x14ac:dyDescent="0.35">
      <c r="B18" s="12" t="s">
        <v>42</v>
      </c>
      <c r="C18" s="9">
        <v>42</v>
      </c>
      <c r="D18" s="9">
        <v>60</v>
      </c>
      <c r="E18" s="2"/>
      <c r="F18" s="21">
        <v>1.25</v>
      </c>
      <c r="G18" s="22">
        <f t="shared" si="0"/>
        <v>31.75</v>
      </c>
      <c r="H18" s="21">
        <f t="shared" si="6"/>
        <v>1.5625</v>
      </c>
      <c r="I18" s="22">
        <f t="shared" si="1"/>
        <v>39.6875</v>
      </c>
      <c r="J18" s="21">
        <f t="shared" si="7"/>
        <v>3.3250000000000002</v>
      </c>
      <c r="K18" s="22">
        <f t="shared" si="2"/>
        <v>84.454999999999998</v>
      </c>
      <c r="L18" s="21">
        <f t="shared" si="3"/>
        <v>1.375</v>
      </c>
      <c r="M18" s="22">
        <f t="shared" si="4"/>
        <v>34.924999999999997</v>
      </c>
      <c r="N18" s="13">
        <f t="shared" si="5"/>
        <v>791.73043608984017</v>
      </c>
      <c r="O18" s="2"/>
      <c r="Q18" s="10">
        <v>30</v>
      </c>
      <c r="R18" s="9">
        <v>28</v>
      </c>
      <c r="S18" s="9">
        <v>70</v>
      </c>
      <c r="T18" s="7"/>
    </row>
    <row r="19" spans="2:20" ht="16.5" customHeight="1" x14ac:dyDescent="0.35">
      <c r="B19" s="12" t="s">
        <v>43</v>
      </c>
      <c r="C19" s="9">
        <v>50</v>
      </c>
      <c r="D19" s="9">
        <v>65</v>
      </c>
      <c r="E19" s="2"/>
      <c r="F19" s="21">
        <v>1.5</v>
      </c>
      <c r="G19" s="22">
        <f t="shared" si="0"/>
        <v>38.099999999999994</v>
      </c>
      <c r="H19" s="21">
        <f t="shared" si="6"/>
        <v>1.875</v>
      </c>
      <c r="I19" s="22">
        <f t="shared" si="1"/>
        <v>47.625</v>
      </c>
      <c r="J19" s="21">
        <f t="shared" si="7"/>
        <v>3.99</v>
      </c>
      <c r="K19" s="22">
        <f t="shared" si="2"/>
        <v>101.346</v>
      </c>
      <c r="L19" s="21">
        <f t="shared" si="3"/>
        <v>1.625</v>
      </c>
      <c r="M19" s="22">
        <f t="shared" si="4"/>
        <v>41.274999999999999</v>
      </c>
      <c r="N19" s="13">
        <f t="shared" si="5"/>
        <v>1140.0918279693697</v>
      </c>
      <c r="O19" s="2"/>
      <c r="Q19" s="10">
        <v>32</v>
      </c>
      <c r="R19" s="9">
        <v>32</v>
      </c>
      <c r="S19" s="9">
        <v>75</v>
      </c>
      <c r="T19" s="7"/>
    </row>
    <row r="20" spans="2:20" ht="16.5" customHeight="1" x14ac:dyDescent="0.35">
      <c r="B20" s="12" t="s">
        <v>44</v>
      </c>
      <c r="C20" s="9">
        <v>55</v>
      </c>
      <c r="D20" s="9">
        <v>70</v>
      </c>
      <c r="E20" s="2"/>
      <c r="Q20" s="10">
        <v>35</v>
      </c>
      <c r="R20" s="9">
        <v>35</v>
      </c>
      <c r="S20" s="9">
        <v>80</v>
      </c>
      <c r="T20" s="7"/>
    </row>
    <row r="21" spans="2:20" ht="16.5" customHeight="1" x14ac:dyDescent="0.35">
      <c r="B21" s="12" t="s">
        <v>45</v>
      </c>
      <c r="C21" s="9">
        <v>60</v>
      </c>
      <c r="D21" s="9">
        <v>75</v>
      </c>
      <c r="E21" s="2"/>
      <c r="F21" s="2"/>
      <c r="G21" s="124" t="s">
        <v>46</v>
      </c>
      <c r="H21" s="126"/>
      <c r="I21" s="2"/>
      <c r="J21" s="124" t="s">
        <v>47</v>
      </c>
      <c r="K21" s="126"/>
      <c r="L21" s="2"/>
      <c r="M21" s="124" t="s">
        <v>48</v>
      </c>
      <c r="N21" s="126"/>
      <c r="O21" s="124" t="s">
        <v>90</v>
      </c>
      <c r="P21" s="126"/>
      <c r="Q21" s="10">
        <v>38</v>
      </c>
      <c r="R21" s="9">
        <v>38</v>
      </c>
      <c r="S21" s="9">
        <v>85</v>
      </c>
      <c r="T21" s="7"/>
    </row>
    <row r="22" spans="2:20" ht="16.5" customHeight="1" x14ac:dyDescent="0.35">
      <c r="B22" s="12" t="s">
        <v>49</v>
      </c>
      <c r="C22" s="9">
        <v>65</v>
      </c>
      <c r="D22" s="9">
        <v>80</v>
      </c>
      <c r="E22" s="2"/>
      <c r="F22" s="3" t="s">
        <v>27</v>
      </c>
      <c r="G22" s="3" t="s">
        <v>16</v>
      </c>
      <c r="H22" s="3" t="s">
        <v>19</v>
      </c>
      <c r="I22" s="3" t="s">
        <v>27</v>
      </c>
      <c r="J22" s="3" t="s">
        <v>16</v>
      </c>
      <c r="K22" s="3" t="s">
        <v>19</v>
      </c>
      <c r="L22" s="3" t="s">
        <v>27</v>
      </c>
      <c r="M22" s="3" t="s">
        <v>16</v>
      </c>
      <c r="N22" s="3" t="s">
        <v>19</v>
      </c>
      <c r="O22" s="3" t="s">
        <v>16</v>
      </c>
      <c r="P22" s="3" t="s">
        <v>19</v>
      </c>
      <c r="Q22" s="10">
        <v>40</v>
      </c>
      <c r="R22" s="9">
        <v>40</v>
      </c>
      <c r="S22" s="9">
        <v>90</v>
      </c>
      <c r="T22" s="7"/>
    </row>
    <row r="23" spans="2:20" ht="16.5" customHeight="1" x14ac:dyDescent="0.35">
      <c r="B23" s="12" t="s">
        <v>50</v>
      </c>
      <c r="C23" s="9">
        <v>50</v>
      </c>
      <c r="D23" s="9">
        <v>70</v>
      </c>
      <c r="E23" s="2"/>
      <c r="F23" s="3" t="s">
        <v>33</v>
      </c>
      <c r="G23" s="3" t="s">
        <v>51</v>
      </c>
      <c r="H23" s="3" t="s">
        <v>51</v>
      </c>
      <c r="I23" s="3" t="s">
        <v>33</v>
      </c>
      <c r="J23" s="3" t="s">
        <v>51</v>
      </c>
      <c r="K23" s="3" t="s">
        <v>51</v>
      </c>
      <c r="L23" s="3" t="s">
        <v>33</v>
      </c>
      <c r="M23" s="3" t="s">
        <v>51</v>
      </c>
      <c r="N23" s="3" t="s">
        <v>51</v>
      </c>
      <c r="O23" s="116" t="s">
        <v>51</v>
      </c>
      <c r="P23" s="116" t="s">
        <v>51</v>
      </c>
      <c r="Q23" s="10">
        <v>50</v>
      </c>
      <c r="R23" s="9">
        <v>50</v>
      </c>
      <c r="S23" s="9">
        <v>95</v>
      </c>
      <c r="T23" s="7"/>
    </row>
    <row r="24" spans="2:20" ht="16.5" customHeight="1" x14ac:dyDescent="0.35">
      <c r="B24" s="12" t="s">
        <v>52</v>
      </c>
      <c r="C24" s="9">
        <v>50</v>
      </c>
      <c r="D24" s="9">
        <v>70</v>
      </c>
      <c r="E24" s="2"/>
      <c r="F24" s="21">
        <v>0.5</v>
      </c>
      <c r="G24" s="23">
        <f t="shared" ref="G24:G31" si="8">0.5*$G$5*N12</f>
        <v>2406.8605257131139</v>
      </c>
      <c r="H24" s="23">
        <f t="shared" ref="H24:H31" si="9">0.5*$G$6*N12</f>
        <v>3027.5771876075487</v>
      </c>
      <c r="I24" s="21">
        <v>0.5</v>
      </c>
      <c r="J24" s="23">
        <f t="shared" ref="J24:J31" si="10">0.5*$H$5*N12</f>
        <v>4002.9890848702321</v>
      </c>
      <c r="K24" s="23">
        <f t="shared" ref="K24:K31" si="11">0.5*$H$6*N12</f>
        <v>5035.4055735313832</v>
      </c>
      <c r="L24" s="21">
        <v>0.5</v>
      </c>
      <c r="M24" s="23">
        <v>5450</v>
      </c>
      <c r="N24" s="117">
        <v>6810</v>
      </c>
      <c r="O24" s="118">
        <f>0.3*1.13*1*M24*1/1.5</f>
        <v>1231.6999999999998</v>
      </c>
      <c r="P24" s="118">
        <f>0.3*1.13*1*N24*1/1.5</f>
        <v>1539.0599999999997</v>
      </c>
      <c r="Q24" s="24"/>
      <c r="R24" s="23">
        <v>60</v>
      </c>
      <c r="S24" s="9">
        <v>100</v>
      </c>
      <c r="T24" s="7"/>
    </row>
    <row r="25" spans="2:20" ht="16.5" customHeight="1" x14ac:dyDescent="0.35">
      <c r="B25" s="12" t="s">
        <v>53</v>
      </c>
      <c r="C25" s="9">
        <v>50</v>
      </c>
      <c r="D25" s="9">
        <v>65</v>
      </c>
      <c r="E25" s="2"/>
      <c r="F25" s="21">
        <v>0.625</v>
      </c>
      <c r="G25" s="23">
        <f t="shared" si="8"/>
        <v>3760.7195714267409</v>
      </c>
      <c r="H25" s="23">
        <f t="shared" si="9"/>
        <v>4730.5893556367946</v>
      </c>
      <c r="I25" s="21">
        <v>0.625</v>
      </c>
      <c r="J25" s="23">
        <f t="shared" si="10"/>
        <v>6254.6704451097376</v>
      </c>
      <c r="K25" s="23">
        <f t="shared" si="11"/>
        <v>7867.8212086427866</v>
      </c>
      <c r="L25" s="21">
        <v>0.625</v>
      </c>
      <c r="M25" s="23">
        <v>8630</v>
      </c>
      <c r="N25" s="117">
        <v>10900</v>
      </c>
      <c r="O25" s="118">
        <f t="shared" ref="O25:P31" si="12">0.3*1.13*1*M25*1/1.5</f>
        <v>1950.3799999999999</v>
      </c>
      <c r="P25" s="118">
        <f t="shared" si="12"/>
        <v>2463.3999999999996</v>
      </c>
      <c r="Q25" s="24"/>
      <c r="R25" s="25"/>
      <c r="S25" s="9">
        <v>105</v>
      </c>
      <c r="T25" s="7"/>
    </row>
    <row r="26" spans="2:20" ht="16.5" customHeight="1" x14ac:dyDescent="0.35">
      <c r="B26" s="12" t="s">
        <v>54</v>
      </c>
      <c r="C26" s="9">
        <v>50</v>
      </c>
      <c r="D26" s="9">
        <v>60</v>
      </c>
      <c r="E26" s="2"/>
      <c r="F26" s="21">
        <v>0.75</v>
      </c>
      <c r="G26" s="23">
        <f t="shared" si="8"/>
        <v>5415.4361828545061</v>
      </c>
      <c r="H26" s="23">
        <f t="shared" si="9"/>
        <v>6812.0486721169837</v>
      </c>
      <c r="I26" s="21">
        <v>0.75</v>
      </c>
      <c r="J26" s="23">
        <f t="shared" si="10"/>
        <v>9006.72544095802</v>
      </c>
      <c r="K26" s="23">
        <f t="shared" si="11"/>
        <v>11329.662540445612</v>
      </c>
      <c r="L26" s="21">
        <v>0.75</v>
      </c>
      <c r="M26" s="23">
        <v>12710</v>
      </c>
      <c r="N26" s="117">
        <v>15890</v>
      </c>
      <c r="O26" s="118">
        <f t="shared" si="12"/>
        <v>2872.4599999999996</v>
      </c>
      <c r="P26" s="118">
        <f t="shared" si="12"/>
        <v>3591.1399999999994</v>
      </c>
      <c r="Q26" s="24"/>
      <c r="R26" s="25"/>
      <c r="S26" s="9">
        <v>110</v>
      </c>
      <c r="T26" s="7"/>
    </row>
    <row r="27" spans="2:20" ht="16.5" customHeight="1" x14ac:dyDescent="0.35">
      <c r="B27" s="12" t="s">
        <v>55</v>
      </c>
      <c r="C27" s="9">
        <v>60</v>
      </c>
      <c r="D27" s="9">
        <v>75</v>
      </c>
      <c r="E27" s="2"/>
      <c r="F27" s="21">
        <v>0.875</v>
      </c>
      <c r="G27" s="23">
        <f t="shared" si="8"/>
        <v>7371.0103599964104</v>
      </c>
      <c r="H27" s="23">
        <f t="shared" si="9"/>
        <v>9271.9551370481167</v>
      </c>
      <c r="I27" s="21">
        <v>0.875</v>
      </c>
      <c r="J27" s="23">
        <f t="shared" si="10"/>
        <v>12259.154072415084</v>
      </c>
      <c r="K27" s="23">
        <f t="shared" si="11"/>
        <v>15420.929568939859</v>
      </c>
      <c r="L27" s="21">
        <v>0.875</v>
      </c>
      <c r="M27" s="23">
        <v>17710</v>
      </c>
      <c r="N27" s="117">
        <v>22250</v>
      </c>
      <c r="O27" s="118">
        <f t="shared" si="12"/>
        <v>4002.4599999999996</v>
      </c>
      <c r="P27" s="118">
        <f t="shared" si="12"/>
        <v>5028.4999999999991</v>
      </c>
      <c r="Q27" s="24"/>
      <c r="R27" s="25"/>
      <c r="S27" s="9">
        <v>115</v>
      </c>
      <c r="T27" s="7"/>
    </row>
    <row r="28" spans="2:20" ht="16.5" customHeight="1" x14ac:dyDescent="0.35">
      <c r="B28" s="12" t="s">
        <v>56</v>
      </c>
      <c r="C28" s="9">
        <v>65</v>
      </c>
      <c r="D28" s="9">
        <v>80</v>
      </c>
      <c r="E28" s="2"/>
      <c r="F28" s="21">
        <v>1</v>
      </c>
      <c r="G28" s="23">
        <f t="shared" si="8"/>
        <v>9627.4421028524557</v>
      </c>
      <c r="H28" s="23">
        <f t="shared" si="9"/>
        <v>12110.308750430195</v>
      </c>
      <c r="I28" s="21">
        <v>1</v>
      </c>
      <c r="J28" s="23">
        <f t="shared" si="10"/>
        <v>16011.956339480928</v>
      </c>
      <c r="K28" s="23">
        <f t="shared" si="11"/>
        <v>20141.622294125533</v>
      </c>
      <c r="L28" s="21">
        <v>1</v>
      </c>
      <c r="M28" s="23">
        <v>23150</v>
      </c>
      <c r="N28" s="117">
        <v>29060</v>
      </c>
      <c r="O28" s="118">
        <f t="shared" si="12"/>
        <v>5231.8999999999996</v>
      </c>
      <c r="P28" s="118">
        <f t="shared" si="12"/>
        <v>6567.5599999999986</v>
      </c>
      <c r="Q28" s="24"/>
      <c r="R28" s="25"/>
      <c r="S28" s="9">
        <v>120</v>
      </c>
      <c r="T28" s="7"/>
    </row>
    <row r="29" spans="2:20" ht="16.5" customHeight="1" x14ac:dyDescent="0.35">
      <c r="B29" s="12" t="s">
        <v>57</v>
      </c>
      <c r="C29" s="9">
        <v>70</v>
      </c>
      <c r="D29" s="9">
        <v>90</v>
      </c>
      <c r="E29" s="2"/>
      <c r="F29" s="21">
        <v>1.125</v>
      </c>
      <c r="G29" s="23">
        <f t="shared" si="8"/>
        <v>12184.731411422641</v>
      </c>
      <c r="H29" s="23">
        <f t="shared" si="9"/>
        <v>15327.109512263216</v>
      </c>
      <c r="I29" s="21">
        <v>1.125</v>
      </c>
      <c r="J29" s="23">
        <f t="shared" si="10"/>
        <v>20265.132242155552</v>
      </c>
      <c r="K29" s="23">
        <f t="shared" si="11"/>
        <v>25491.740716002631</v>
      </c>
      <c r="L29" s="21">
        <v>1.125</v>
      </c>
      <c r="M29" s="23">
        <v>29060</v>
      </c>
      <c r="N29" s="117">
        <v>36320</v>
      </c>
      <c r="O29" s="118">
        <f t="shared" si="12"/>
        <v>6567.5599999999986</v>
      </c>
      <c r="P29" s="118">
        <f t="shared" si="12"/>
        <v>8208.32</v>
      </c>
      <c r="S29" s="9">
        <v>125</v>
      </c>
      <c r="T29" s="7"/>
    </row>
    <row r="30" spans="2:20" ht="16.5" customHeight="1" x14ac:dyDescent="0.35">
      <c r="B30" s="12" t="s">
        <v>58</v>
      </c>
      <c r="C30" s="9">
        <v>50</v>
      </c>
      <c r="D30" s="9">
        <v>65</v>
      </c>
      <c r="E30" s="2"/>
      <c r="F30" s="21">
        <v>1.25</v>
      </c>
      <c r="G30" s="23">
        <f t="shared" si="8"/>
        <v>15042.878285706964</v>
      </c>
      <c r="H30" s="23">
        <f t="shared" si="9"/>
        <v>18922.357422547178</v>
      </c>
      <c r="I30" s="21">
        <v>1.25</v>
      </c>
      <c r="J30" s="23">
        <f t="shared" si="10"/>
        <v>25018.68178043895</v>
      </c>
      <c r="K30" s="23">
        <f t="shared" si="11"/>
        <v>31471.284834571146</v>
      </c>
      <c r="L30" s="21">
        <v>1.25</v>
      </c>
      <c r="M30" s="23">
        <v>36770</v>
      </c>
      <c r="N30" s="117">
        <v>46310</v>
      </c>
      <c r="O30" s="118">
        <f t="shared" si="12"/>
        <v>8310.0199999999986</v>
      </c>
      <c r="P30" s="118">
        <f t="shared" si="12"/>
        <v>10466.06</v>
      </c>
      <c r="S30" s="7"/>
      <c r="T30" s="7"/>
    </row>
    <row r="31" spans="2:20" ht="16.5" customHeight="1" x14ac:dyDescent="0.35">
      <c r="B31" s="12" t="s">
        <v>59</v>
      </c>
      <c r="C31" s="9">
        <v>42</v>
      </c>
      <c r="D31" s="9">
        <v>63</v>
      </c>
      <c r="E31" s="2"/>
      <c r="F31" s="21">
        <v>1.5</v>
      </c>
      <c r="G31" s="23">
        <f t="shared" si="8"/>
        <v>21661.744731418024</v>
      </c>
      <c r="H31" s="23">
        <f t="shared" si="9"/>
        <v>27248.194688467935</v>
      </c>
      <c r="I31" s="21">
        <v>1.5</v>
      </c>
      <c r="J31" s="23">
        <f t="shared" si="10"/>
        <v>36026.90176383208</v>
      </c>
      <c r="K31" s="23">
        <f t="shared" si="11"/>
        <v>45318.650161782447</v>
      </c>
      <c r="L31" s="21">
        <v>1.5</v>
      </c>
      <c r="M31" s="23">
        <v>53570</v>
      </c>
      <c r="N31" s="117">
        <v>67190</v>
      </c>
      <c r="O31" s="118">
        <f t="shared" si="12"/>
        <v>12106.82</v>
      </c>
      <c r="P31" s="118">
        <f>0.3*1.13*1*N31*1/1.5</f>
        <v>15184.939999999997</v>
      </c>
      <c r="S31" s="7"/>
      <c r="T31" s="7"/>
    </row>
    <row r="32" spans="2:20" ht="16.5" customHeight="1" x14ac:dyDescent="0.35">
      <c r="B32" s="12" t="s">
        <v>59</v>
      </c>
      <c r="C32" s="9">
        <v>46</v>
      </c>
      <c r="D32" s="9">
        <v>67</v>
      </c>
      <c r="E32" s="2"/>
      <c r="R32" s="7"/>
      <c r="S32" s="7"/>
      <c r="T32" s="7"/>
    </row>
    <row r="33" spans="2:23" ht="16.5" customHeight="1" x14ac:dyDescent="0.35">
      <c r="B33" s="12" t="s">
        <v>59</v>
      </c>
      <c r="C33" s="9">
        <v>50</v>
      </c>
      <c r="D33" s="9">
        <v>70</v>
      </c>
      <c r="E33" s="2"/>
      <c r="F33" s="6" t="s">
        <v>60</v>
      </c>
      <c r="G33" s="6" t="s">
        <v>61</v>
      </c>
      <c r="H33" s="6" t="s">
        <v>62</v>
      </c>
      <c r="I33" s="6" t="s">
        <v>63</v>
      </c>
      <c r="J33" s="3" t="s">
        <v>64</v>
      </c>
      <c r="K33" s="3" t="s">
        <v>65</v>
      </c>
      <c r="L33" s="3" t="s">
        <v>66</v>
      </c>
      <c r="M33" s="6" t="s">
        <v>67</v>
      </c>
      <c r="N33" s="26" t="s">
        <v>68</v>
      </c>
      <c r="O33" s="3" t="s">
        <v>69</v>
      </c>
      <c r="P33" s="3" t="s">
        <v>70</v>
      </c>
      <c r="Q33" s="3" t="s">
        <v>24</v>
      </c>
      <c r="R33" s="3" t="s">
        <v>71</v>
      </c>
      <c r="S33" s="3" t="s">
        <v>72</v>
      </c>
      <c r="T33" s="3" t="s">
        <v>73</v>
      </c>
      <c r="U33" s="3" t="s">
        <v>70</v>
      </c>
      <c r="V33" s="6" t="s">
        <v>72</v>
      </c>
      <c r="W33" s="26" t="s">
        <v>74</v>
      </c>
    </row>
    <row r="34" spans="2:23" ht="16.5" customHeight="1" x14ac:dyDescent="0.35">
      <c r="B34" s="12" t="s">
        <v>75</v>
      </c>
      <c r="C34" s="9">
        <v>50</v>
      </c>
      <c r="D34" s="9">
        <v>70</v>
      </c>
      <c r="E34" s="2"/>
      <c r="F34" s="27" t="s">
        <v>76</v>
      </c>
      <c r="G34" s="9" t="s">
        <v>77</v>
      </c>
      <c r="H34" s="9" t="s">
        <v>78</v>
      </c>
      <c r="I34" s="13">
        <v>1</v>
      </c>
      <c r="J34" s="9">
        <v>1</v>
      </c>
      <c r="K34" s="9">
        <v>0.3</v>
      </c>
      <c r="L34" s="23">
        <v>0</v>
      </c>
      <c r="M34" s="23" t="s">
        <v>79</v>
      </c>
      <c r="N34" s="28" t="s">
        <v>80</v>
      </c>
      <c r="O34" s="9" t="s">
        <v>81</v>
      </c>
      <c r="P34" s="9" t="s">
        <v>73</v>
      </c>
      <c r="Q34" s="9" t="s">
        <v>82</v>
      </c>
      <c r="R34" s="9" t="s">
        <v>83</v>
      </c>
      <c r="S34" s="29" t="s">
        <v>84</v>
      </c>
      <c r="T34" s="29" t="s">
        <v>85</v>
      </c>
      <c r="U34" s="30" t="s">
        <v>86</v>
      </c>
      <c r="V34" s="27" t="s">
        <v>87</v>
      </c>
      <c r="W34" s="10" t="s">
        <v>88</v>
      </c>
    </row>
    <row r="35" spans="2:23" ht="16.5" customHeight="1" x14ac:dyDescent="0.35">
      <c r="B35" s="12" t="s">
        <v>89</v>
      </c>
      <c r="C35" s="9">
        <v>50</v>
      </c>
      <c r="D35" s="9">
        <v>70</v>
      </c>
      <c r="E35" s="2"/>
      <c r="F35" s="27" t="s">
        <v>90</v>
      </c>
      <c r="G35" s="9" t="s">
        <v>91</v>
      </c>
      <c r="H35" s="9" t="s">
        <v>92</v>
      </c>
      <c r="I35" s="13">
        <v>1.5</v>
      </c>
      <c r="J35" s="9">
        <v>0.85</v>
      </c>
      <c r="K35" s="9">
        <v>0.5</v>
      </c>
      <c r="L35" s="9">
        <v>1</v>
      </c>
      <c r="M35" s="23" t="s">
        <v>93</v>
      </c>
      <c r="N35" s="28" t="s">
        <v>94</v>
      </c>
      <c r="O35" s="9" t="s">
        <v>95</v>
      </c>
      <c r="P35" s="9" t="s">
        <v>95</v>
      </c>
      <c r="Q35" s="9" t="s">
        <v>22</v>
      </c>
      <c r="R35" s="9" t="s">
        <v>88</v>
      </c>
      <c r="S35" s="29" t="s">
        <v>90</v>
      </c>
      <c r="T35" s="29" t="s">
        <v>96</v>
      </c>
      <c r="U35" s="30" t="s">
        <v>97</v>
      </c>
      <c r="V35" s="27" t="s">
        <v>98</v>
      </c>
      <c r="W35" s="10" t="s">
        <v>83</v>
      </c>
    </row>
    <row r="36" spans="2:23" ht="15.75" customHeight="1" x14ac:dyDescent="0.35">
      <c r="B36" s="2"/>
      <c r="C36" s="2"/>
      <c r="D36" s="2"/>
      <c r="E36" s="2"/>
      <c r="G36" s="9" t="s">
        <v>99</v>
      </c>
      <c r="J36" s="16"/>
      <c r="K36" s="16"/>
      <c r="L36" s="9">
        <v>2</v>
      </c>
      <c r="N36" s="28" t="s">
        <v>13</v>
      </c>
      <c r="O36" s="9" t="s">
        <v>73</v>
      </c>
      <c r="P36" s="9" t="s">
        <v>81</v>
      </c>
      <c r="Q36" s="2"/>
      <c r="R36" s="7"/>
      <c r="S36" s="7"/>
      <c r="T36" s="7"/>
      <c r="U36" s="7"/>
    </row>
    <row r="37" spans="2:23" ht="15.75" customHeight="1" x14ac:dyDescent="0.35">
      <c r="B37" s="3" t="s">
        <v>68</v>
      </c>
      <c r="C37" s="3" t="s">
        <v>100</v>
      </c>
      <c r="D37" s="3" t="s">
        <v>101</v>
      </c>
      <c r="E37" s="2"/>
      <c r="G37" s="9" t="s">
        <v>102</v>
      </c>
      <c r="L37" s="9">
        <v>3</v>
      </c>
      <c r="M37" s="2"/>
      <c r="N37" s="31" t="s">
        <v>103</v>
      </c>
      <c r="O37" s="9" t="s">
        <v>104</v>
      </c>
      <c r="R37" s="7"/>
      <c r="S37" s="7"/>
      <c r="T37" s="7"/>
      <c r="U37" s="7"/>
    </row>
    <row r="38" spans="2:23" ht="15.75" customHeight="1" x14ac:dyDescent="0.35">
      <c r="B38" s="9" t="s">
        <v>105</v>
      </c>
      <c r="C38" s="9">
        <v>58</v>
      </c>
      <c r="D38" s="9">
        <v>1</v>
      </c>
      <c r="E38" s="2"/>
      <c r="G38" s="32" t="s">
        <v>106</v>
      </c>
      <c r="M38" s="2"/>
      <c r="N38" s="2"/>
      <c r="O38" s="9" t="s">
        <v>107</v>
      </c>
      <c r="R38" s="7"/>
      <c r="S38" s="7"/>
      <c r="T38" s="7"/>
      <c r="U38" s="7"/>
    </row>
    <row r="39" spans="2:23" ht="15.75" customHeight="1" x14ac:dyDescent="0.35">
      <c r="B39" s="9" t="s">
        <v>108</v>
      </c>
      <c r="C39" s="9">
        <v>60</v>
      </c>
      <c r="D39" s="9">
        <v>0.85699999999999998</v>
      </c>
      <c r="G39" s="9" t="s">
        <v>109</v>
      </c>
      <c r="M39" s="2"/>
      <c r="N39" s="2"/>
      <c r="O39" s="9" t="s">
        <v>110</v>
      </c>
      <c r="R39" s="7"/>
      <c r="S39" s="7"/>
      <c r="T39" s="7"/>
      <c r="U39" s="7"/>
    </row>
    <row r="40" spans="2:23" ht="15.75" customHeight="1" x14ac:dyDescent="0.35">
      <c r="B40" s="9" t="s">
        <v>111</v>
      </c>
      <c r="C40" s="9">
        <v>70</v>
      </c>
      <c r="D40" s="9">
        <v>1</v>
      </c>
      <c r="G40" s="9" t="s">
        <v>112</v>
      </c>
      <c r="M40" s="2"/>
      <c r="N40" s="2"/>
      <c r="O40" s="9" t="s">
        <v>113</v>
      </c>
      <c r="R40" s="7"/>
      <c r="S40" s="7"/>
      <c r="T40" s="7"/>
      <c r="U40" s="7"/>
    </row>
    <row r="41" spans="2:23" ht="15.75" customHeight="1" x14ac:dyDescent="0.35">
      <c r="B41" s="9" t="s">
        <v>114</v>
      </c>
      <c r="C41" s="9">
        <v>80</v>
      </c>
      <c r="D41" s="9">
        <v>1.03</v>
      </c>
      <c r="G41" s="9" t="s">
        <v>115</v>
      </c>
      <c r="O41" s="9" t="s">
        <v>116</v>
      </c>
      <c r="R41" s="7"/>
      <c r="S41" s="7"/>
      <c r="T41" s="7"/>
      <c r="U41" s="7"/>
    </row>
    <row r="42" spans="2:23" ht="15.75" customHeight="1" x14ac:dyDescent="0.35">
      <c r="B42" s="9" t="s">
        <v>117</v>
      </c>
      <c r="C42" s="9">
        <v>90</v>
      </c>
      <c r="D42" s="9">
        <v>1.1599999999999999</v>
      </c>
      <c r="O42" s="32" t="s">
        <v>118</v>
      </c>
      <c r="R42" s="7"/>
      <c r="S42" s="7"/>
      <c r="T42" s="7"/>
      <c r="U42" s="7"/>
    </row>
    <row r="43" spans="2:23" ht="15.75" customHeight="1" x14ac:dyDescent="0.35">
      <c r="B43" s="9" t="s">
        <v>119</v>
      </c>
      <c r="C43" s="9">
        <v>100</v>
      </c>
      <c r="D43" s="9">
        <v>1.21</v>
      </c>
      <c r="O43" s="9" t="s">
        <v>120</v>
      </c>
      <c r="R43" s="7"/>
      <c r="S43" s="7"/>
      <c r="T43" s="7"/>
      <c r="U43" s="7"/>
    </row>
    <row r="44" spans="2:23" ht="15.75" customHeight="1" x14ac:dyDescent="0.35">
      <c r="B44" s="9" t="s">
        <v>121</v>
      </c>
      <c r="C44" s="9">
        <v>110</v>
      </c>
      <c r="D44" s="9">
        <v>1.34</v>
      </c>
      <c r="R44" s="7"/>
      <c r="S44" s="7"/>
      <c r="T44" s="7"/>
      <c r="U44" s="7"/>
    </row>
    <row r="45" spans="2:23" ht="15.75" customHeight="1" x14ac:dyDescent="0.35">
      <c r="R45" s="7"/>
      <c r="S45" s="7"/>
      <c r="T45" s="7"/>
      <c r="U45" s="7"/>
    </row>
    <row r="46" spans="2:23" ht="15.75" customHeight="1" x14ac:dyDescent="0.35">
      <c r="B46" s="122" t="s">
        <v>122</v>
      </c>
      <c r="C46" s="124" t="s">
        <v>123</v>
      </c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6"/>
      <c r="S46" s="7"/>
      <c r="T46" s="7"/>
      <c r="U46" s="7"/>
    </row>
    <row r="47" spans="2:23" ht="15.75" customHeight="1" x14ac:dyDescent="0.35">
      <c r="B47" s="123"/>
      <c r="C47" s="3">
        <v>0</v>
      </c>
      <c r="D47" s="3">
        <v>0.1</v>
      </c>
      <c r="E47" s="3">
        <v>0.2</v>
      </c>
      <c r="F47" s="3">
        <v>0.3</v>
      </c>
      <c r="G47" s="3">
        <v>0.4</v>
      </c>
      <c r="H47" s="3">
        <v>0.5</v>
      </c>
      <c r="I47" s="3">
        <v>0.6</v>
      </c>
      <c r="J47" s="3">
        <v>0.7</v>
      </c>
      <c r="K47" s="3">
        <v>0.8</v>
      </c>
      <c r="L47" s="3">
        <v>0.9</v>
      </c>
      <c r="M47" s="3">
        <v>1</v>
      </c>
      <c r="N47" s="3">
        <v>1.2</v>
      </c>
      <c r="O47" s="3">
        <v>1.4</v>
      </c>
      <c r="P47" s="3">
        <v>1.6</v>
      </c>
      <c r="Q47" s="3">
        <v>1.8</v>
      </c>
      <c r="R47" s="33">
        <v>2</v>
      </c>
      <c r="S47" s="7"/>
      <c r="T47" s="7"/>
      <c r="U47" s="7"/>
    </row>
    <row r="48" spans="2:23" ht="15.75" customHeight="1" x14ac:dyDescent="0.35">
      <c r="B48" s="34">
        <v>0</v>
      </c>
      <c r="C48" s="35">
        <v>1.86</v>
      </c>
      <c r="D48" s="35">
        <v>2.23</v>
      </c>
      <c r="E48" s="35">
        <v>2.69</v>
      </c>
      <c r="F48" s="35">
        <v>3.25</v>
      </c>
      <c r="G48" s="35">
        <v>3.8</v>
      </c>
      <c r="H48" s="35">
        <v>4.3600000000000003</v>
      </c>
      <c r="I48" s="35">
        <v>4.92</v>
      </c>
      <c r="J48" s="35">
        <v>5.47</v>
      </c>
      <c r="K48" s="35">
        <v>6.03</v>
      </c>
      <c r="L48" s="35">
        <v>6.59</v>
      </c>
      <c r="M48" s="35">
        <v>7.15</v>
      </c>
      <c r="N48" s="35">
        <v>8.26</v>
      </c>
      <c r="O48" s="36">
        <v>9.3699999999999992</v>
      </c>
      <c r="P48" s="36">
        <v>10.5</v>
      </c>
      <c r="Q48" s="37">
        <v>11.6</v>
      </c>
      <c r="R48" s="37">
        <v>12.7</v>
      </c>
      <c r="S48" s="7"/>
      <c r="T48" s="7"/>
      <c r="U48" s="7"/>
    </row>
    <row r="49" spans="2:18" ht="15.75" customHeight="1" x14ac:dyDescent="0.35">
      <c r="B49" s="34">
        <v>0.1</v>
      </c>
      <c r="C49" s="35">
        <v>1.86</v>
      </c>
      <c r="D49" s="35">
        <v>2.2799999999999998</v>
      </c>
      <c r="E49" s="35">
        <v>2.78</v>
      </c>
      <c r="F49" s="35">
        <v>3.3</v>
      </c>
      <c r="G49" s="35">
        <v>3.83</v>
      </c>
      <c r="H49" s="35">
        <v>4.37</v>
      </c>
      <c r="I49" s="35">
        <v>4.92</v>
      </c>
      <c r="J49" s="35">
        <v>5.46</v>
      </c>
      <c r="K49" s="35">
        <v>6.01</v>
      </c>
      <c r="L49" s="35">
        <v>6.56</v>
      </c>
      <c r="M49" s="35">
        <v>7.11</v>
      </c>
      <c r="N49" s="35">
        <v>8.2200000000000006</v>
      </c>
      <c r="O49" s="38">
        <v>9.32</v>
      </c>
      <c r="P49" s="38">
        <v>10.4</v>
      </c>
      <c r="Q49" s="38">
        <v>11.5</v>
      </c>
      <c r="R49" s="38">
        <v>12.7</v>
      </c>
    </row>
    <row r="50" spans="2:18" ht="15.75" customHeight="1" x14ac:dyDescent="0.35">
      <c r="B50" s="34">
        <v>0.15</v>
      </c>
      <c r="C50" s="35">
        <v>1.83</v>
      </c>
      <c r="D50" s="35">
        <v>2.25</v>
      </c>
      <c r="E50" s="35">
        <v>2.73</v>
      </c>
      <c r="F50" s="35">
        <v>3.23</v>
      </c>
      <c r="G50" s="35">
        <v>3.75</v>
      </c>
      <c r="H50" s="35">
        <v>4.2699999999999996</v>
      </c>
      <c r="I50" s="35">
        <v>4.8</v>
      </c>
      <c r="J50" s="35">
        <v>5.33</v>
      </c>
      <c r="K50" s="35">
        <v>5.87</v>
      </c>
      <c r="L50" s="35">
        <v>6.41</v>
      </c>
      <c r="M50" s="35">
        <v>6.94</v>
      </c>
      <c r="N50" s="35">
        <v>8.02</v>
      </c>
      <c r="O50" s="38">
        <v>9.11</v>
      </c>
      <c r="P50" s="38">
        <v>10.199999999999999</v>
      </c>
      <c r="Q50" s="38">
        <v>11.3</v>
      </c>
      <c r="R50" s="38">
        <v>12.4</v>
      </c>
    </row>
    <row r="51" spans="2:18" ht="15.75" customHeight="1" x14ac:dyDescent="0.35">
      <c r="B51" s="34">
        <v>0.2</v>
      </c>
      <c r="C51" s="35">
        <v>1.76</v>
      </c>
      <c r="D51" s="35">
        <v>2.1800000000000002</v>
      </c>
      <c r="E51" s="35">
        <v>2.63</v>
      </c>
      <c r="F51" s="35">
        <v>3.11</v>
      </c>
      <c r="G51" s="35">
        <v>3.6</v>
      </c>
      <c r="H51" s="35">
        <v>4.1100000000000003</v>
      </c>
      <c r="I51" s="35">
        <v>4.6100000000000003</v>
      </c>
      <c r="J51" s="35">
        <v>5.13</v>
      </c>
      <c r="K51" s="35">
        <v>5.64</v>
      </c>
      <c r="L51" s="35">
        <v>6.16</v>
      </c>
      <c r="M51" s="35">
        <v>6.68</v>
      </c>
      <c r="N51" s="35">
        <v>7.72</v>
      </c>
      <c r="O51" s="38">
        <v>8.77</v>
      </c>
      <c r="P51" s="38">
        <v>9.83</v>
      </c>
      <c r="Q51" s="38">
        <v>10.9</v>
      </c>
      <c r="R51" s="38">
        <v>12</v>
      </c>
    </row>
    <row r="52" spans="2:18" ht="15.75" customHeight="1" x14ac:dyDescent="0.35">
      <c r="B52" s="34">
        <v>0.25</v>
      </c>
      <c r="C52" s="35">
        <v>1.66</v>
      </c>
      <c r="D52" s="35">
        <v>2.0699999999999998</v>
      </c>
      <c r="E52" s="35">
        <v>2.5099999999999998</v>
      </c>
      <c r="F52" s="35">
        <v>2.96</v>
      </c>
      <c r="G52" s="35">
        <v>3.42</v>
      </c>
      <c r="H52" s="35">
        <v>3.9</v>
      </c>
      <c r="I52" s="35">
        <v>4.38</v>
      </c>
      <c r="J52" s="35">
        <v>4.87</v>
      </c>
      <c r="K52" s="35">
        <v>5.37</v>
      </c>
      <c r="L52" s="35">
        <v>5.86</v>
      </c>
      <c r="M52" s="35">
        <v>6.36</v>
      </c>
      <c r="N52" s="35">
        <v>7.37</v>
      </c>
      <c r="O52" s="38">
        <v>8.39</v>
      </c>
      <c r="P52" s="38">
        <v>9.42</v>
      </c>
      <c r="Q52" s="38">
        <v>10.5</v>
      </c>
      <c r="R52" s="38">
        <v>11.5</v>
      </c>
    </row>
    <row r="53" spans="2:18" ht="15.75" customHeight="1" x14ac:dyDescent="0.35">
      <c r="B53" s="34">
        <v>0.3</v>
      </c>
      <c r="C53" s="35">
        <v>1.55</v>
      </c>
      <c r="D53" s="35">
        <v>1.95</v>
      </c>
      <c r="E53" s="35">
        <v>2.36</v>
      </c>
      <c r="F53" s="38">
        <v>2.79</v>
      </c>
      <c r="G53" s="38">
        <v>3.23</v>
      </c>
      <c r="H53" s="38">
        <v>3.68</v>
      </c>
      <c r="I53" s="38">
        <v>4.1399999999999997</v>
      </c>
      <c r="J53" s="38">
        <v>4.5999999999999996</v>
      </c>
      <c r="K53" s="38">
        <v>5.08</v>
      </c>
      <c r="L53" s="38">
        <v>5.55</v>
      </c>
      <c r="M53" s="38">
        <v>6.03</v>
      </c>
      <c r="N53" s="38">
        <v>7.01</v>
      </c>
      <c r="O53" s="38">
        <v>8</v>
      </c>
      <c r="P53" s="38">
        <v>9</v>
      </c>
      <c r="Q53" s="38">
        <v>10</v>
      </c>
      <c r="R53" s="38">
        <v>11</v>
      </c>
    </row>
    <row r="54" spans="2:18" ht="15.75" customHeight="1" x14ac:dyDescent="0.35">
      <c r="B54" s="34">
        <v>0.4</v>
      </c>
      <c r="C54" s="35">
        <v>1.33</v>
      </c>
      <c r="D54" s="35">
        <v>1.69</v>
      </c>
      <c r="E54" s="35">
        <v>2.0699999999999998</v>
      </c>
      <c r="F54" s="38">
        <v>2.4500000000000002</v>
      </c>
      <c r="G54" s="38">
        <v>2.84</v>
      </c>
      <c r="H54" s="38">
        <v>3.24</v>
      </c>
      <c r="I54" s="38">
        <v>3.65</v>
      </c>
      <c r="J54" s="38">
        <v>4.07</v>
      </c>
      <c r="K54" s="38">
        <v>4.5</v>
      </c>
      <c r="L54" s="38">
        <v>4.9400000000000004</v>
      </c>
      <c r="M54" s="38">
        <v>5.39</v>
      </c>
      <c r="N54" s="38">
        <v>6.3</v>
      </c>
      <c r="O54" s="38">
        <v>7.24</v>
      </c>
      <c r="P54" s="38">
        <v>8.19</v>
      </c>
      <c r="Q54" s="38">
        <v>9.16</v>
      </c>
      <c r="R54" s="38">
        <v>10.1</v>
      </c>
    </row>
    <row r="55" spans="2:18" ht="15.75" customHeight="1" x14ac:dyDescent="0.35">
      <c r="B55" s="34">
        <v>0.5</v>
      </c>
      <c r="C55" s="35">
        <v>1.1499999999999999</v>
      </c>
      <c r="D55" s="35">
        <v>1.46</v>
      </c>
      <c r="E55" s="35">
        <v>1.79</v>
      </c>
      <c r="F55" s="38">
        <v>2.14</v>
      </c>
      <c r="G55" s="38">
        <v>2.4900000000000002</v>
      </c>
      <c r="H55" s="38">
        <v>2.85</v>
      </c>
      <c r="I55" s="38">
        <v>3.22</v>
      </c>
      <c r="J55" s="38">
        <v>3.6</v>
      </c>
      <c r="K55" s="38">
        <v>4</v>
      </c>
      <c r="L55" s="38">
        <v>4.4000000000000004</v>
      </c>
      <c r="M55" s="38">
        <v>4.82</v>
      </c>
      <c r="N55" s="38">
        <v>5.67</v>
      </c>
      <c r="O55" s="38">
        <v>6.56</v>
      </c>
      <c r="P55" s="38">
        <v>7.47</v>
      </c>
      <c r="Q55" s="38">
        <v>8.4</v>
      </c>
      <c r="R55" s="38">
        <v>9.35</v>
      </c>
    </row>
    <row r="56" spans="2:18" ht="15.75" customHeight="1" x14ac:dyDescent="0.35">
      <c r="B56" s="34">
        <v>0.6</v>
      </c>
      <c r="C56" s="35">
        <v>0.999</v>
      </c>
      <c r="D56" s="35">
        <v>1.27</v>
      </c>
      <c r="E56" s="35">
        <v>1.57</v>
      </c>
      <c r="F56" s="38">
        <v>1.88</v>
      </c>
      <c r="G56" s="38">
        <v>2.19</v>
      </c>
      <c r="H56" s="38">
        <v>2.52</v>
      </c>
      <c r="I56" s="38">
        <v>2.85</v>
      </c>
      <c r="J56" s="38">
        <v>3.2</v>
      </c>
      <c r="K56" s="38">
        <v>3.57</v>
      </c>
      <c r="L56" s="38">
        <v>3.94</v>
      </c>
      <c r="M56" s="38">
        <v>4.33</v>
      </c>
      <c r="N56" s="38">
        <v>5.13</v>
      </c>
      <c r="O56" s="38">
        <v>5.97</v>
      </c>
      <c r="P56" s="38">
        <v>6.84</v>
      </c>
      <c r="Q56" s="38">
        <v>7.74</v>
      </c>
      <c r="R56" s="38">
        <v>8.65</v>
      </c>
    </row>
    <row r="57" spans="2:18" ht="15.75" customHeight="1" x14ac:dyDescent="0.35">
      <c r="B57" s="34">
        <v>0.7</v>
      </c>
      <c r="C57" s="35">
        <v>0.879</v>
      </c>
      <c r="D57" s="35">
        <v>1.1200000000000001</v>
      </c>
      <c r="E57" s="35">
        <v>1.38</v>
      </c>
      <c r="F57" s="38">
        <v>1.66</v>
      </c>
      <c r="G57" s="38">
        <v>1.95</v>
      </c>
      <c r="H57" s="38">
        <v>2.2400000000000002</v>
      </c>
      <c r="I57" s="38">
        <v>2.5499999999999998</v>
      </c>
      <c r="J57" s="38">
        <v>2.87</v>
      </c>
      <c r="K57" s="38">
        <v>3.2</v>
      </c>
      <c r="L57" s="38">
        <v>3.55</v>
      </c>
      <c r="M57" s="38">
        <v>3.91</v>
      </c>
      <c r="N57" s="38">
        <v>4.66</v>
      </c>
      <c r="O57" s="38">
        <v>5.46</v>
      </c>
      <c r="P57" s="38">
        <v>6.29</v>
      </c>
      <c r="Q57" s="38">
        <v>7.15</v>
      </c>
      <c r="R57" s="38">
        <v>8.0399999999999991</v>
      </c>
    </row>
    <row r="58" spans="2:18" ht="15.75" customHeight="1" x14ac:dyDescent="0.35">
      <c r="B58" s="34">
        <v>0.8</v>
      </c>
      <c r="C58" s="37">
        <v>0.78300000000000003</v>
      </c>
      <c r="D58" s="38">
        <v>0.996</v>
      </c>
      <c r="E58" s="38">
        <v>1.23</v>
      </c>
      <c r="F58" s="38">
        <v>1.48</v>
      </c>
      <c r="G58" s="38">
        <v>1.75</v>
      </c>
      <c r="H58" s="38">
        <v>2.02</v>
      </c>
      <c r="I58" s="38">
        <v>2.2999999999999998</v>
      </c>
      <c r="J58" s="38">
        <v>2.59</v>
      </c>
      <c r="K58" s="38">
        <v>2.9</v>
      </c>
      <c r="L58" s="38">
        <v>3.22</v>
      </c>
      <c r="M58" s="38">
        <v>3.56</v>
      </c>
      <c r="N58" s="38">
        <v>4.2699999999999996</v>
      </c>
      <c r="O58" s="38">
        <v>5.0199999999999996</v>
      </c>
      <c r="P58" s="38">
        <v>5.82</v>
      </c>
      <c r="Q58" s="38">
        <v>6.64</v>
      </c>
      <c r="R58" s="38">
        <v>7.5</v>
      </c>
    </row>
    <row r="59" spans="2:18" ht="15.75" customHeight="1" x14ac:dyDescent="0.35">
      <c r="B59" s="34">
        <v>0.9</v>
      </c>
      <c r="C59" s="39">
        <v>0.70399999999999996</v>
      </c>
      <c r="D59" s="38">
        <v>0.89600000000000002</v>
      </c>
      <c r="E59" s="38">
        <v>1.1100000000000001</v>
      </c>
      <c r="F59" s="38">
        <v>1.34</v>
      </c>
      <c r="G59" s="38">
        <v>1.58</v>
      </c>
      <c r="H59" s="38">
        <v>1.83</v>
      </c>
      <c r="I59" s="38">
        <v>2.09</v>
      </c>
      <c r="J59" s="38">
        <v>2.36</v>
      </c>
      <c r="K59" s="38">
        <v>2.65</v>
      </c>
      <c r="L59" s="38">
        <v>2.95</v>
      </c>
      <c r="M59" s="38">
        <v>3.26</v>
      </c>
      <c r="N59" s="38">
        <v>3.93</v>
      </c>
      <c r="O59" s="38">
        <v>4.6500000000000004</v>
      </c>
      <c r="P59" s="38">
        <v>5.4</v>
      </c>
      <c r="Q59" s="38">
        <v>6.19</v>
      </c>
      <c r="R59" s="38">
        <v>7.01</v>
      </c>
    </row>
    <row r="60" spans="2:18" ht="15.75" customHeight="1" x14ac:dyDescent="0.35">
      <c r="B60" s="34">
        <v>1</v>
      </c>
      <c r="C60" s="39">
        <v>0.63900000000000001</v>
      </c>
      <c r="D60" s="38">
        <v>0.81299999999999994</v>
      </c>
      <c r="E60" s="38">
        <v>1</v>
      </c>
      <c r="F60" s="38">
        <v>1.21</v>
      </c>
      <c r="G60" s="38">
        <v>1.44</v>
      </c>
      <c r="H60" s="38">
        <v>1.67</v>
      </c>
      <c r="I60" s="38">
        <v>1.91</v>
      </c>
      <c r="J60" s="38">
        <v>2.16</v>
      </c>
      <c r="K60" s="38">
        <v>2.4300000000000002</v>
      </c>
      <c r="L60" s="38">
        <v>2.71</v>
      </c>
      <c r="M60" s="38">
        <v>3.01</v>
      </c>
      <c r="N60" s="38">
        <v>3.64</v>
      </c>
      <c r="O60" s="38">
        <v>4.3099999999999996</v>
      </c>
      <c r="P60" s="38">
        <v>5.03</v>
      </c>
      <c r="Q60" s="38">
        <v>5.78</v>
      </c>
      <c r="R60" s="38">
        <v>6.56</v>
      </c>
    </row>
    <row r="61" spans="2:18" ht="15.75" customHeight="1" x14ac:dyDescent="0.35">
      <c r="B61" s="34">
        <v>1.2</v>
      </c>
      <c r="C61" s="39">
        <v>0.53800000000000003</v>
      </c>
      <c r="D61" s="38">
        <v>0.68400000000000005</v>
      </c>
      <c r="E61" s="38">
        <v>0.84499999999999997</v>
      </c>
      <c r="F61" s="38">
        <v>1.02</v>
      </c>
      <c r="G61" s="38">
        <v>1.21</v>
      </c>
      <c r="H61" s="38">
        <v>1.42</v>
      </c>
      <c r="I61" s="38">
        <v>1.63</v>
      </c>
      <c r="J61" s="38">
        <v>1.85</v>
      </c>
      <c r="K61" s="38">
        <v>2.08</v>
      </c>
      <c r="L61" s="38">
        <v>2.33</v>
      </c>
      <c r="M61" s="38">
        <v>2.59</v>
      </c>
      <c r="N61" s="38">
        <v>3.15</v>
      </c>
      <c r="O61" s="38">
        <v>3.75</v>
      </c>
      <c r="P61" s="38">
        <v>4.3899999999999997</v>
      </c>
      <c r="Q61" s="38">
        <v>5.07</v>
      </c>
      <c r="R61" s="38">
        <v>5.79</v>
      </c>
    </row>
    <row r="62" spans="2:18" ht="15.75" customHeight="1" x14ac:dyDescent="0.35">
      <c r="B62" s="34">
        <v>1.4</v>
      </c>
      <c r="C62" s="39">
        <v>0.46400000000000002</v>
      </c>
      <c r="D62" s="38">
        <v>0.58899999999999997</v>
      </c>
      <c r="E62" s="38">
        <v>0.72899999999999998</v>
      </c>
      <c r="F62" s="38">
        <v>0.88300000000000001</v>
      </c>
      <c r="G62" s="38">
        <v>1.05</v>
      </c>
      <c r="H62" s="38">
        <v>1.23</v>
      </c>
      <c r="I62" s="38">
        <v>1.42</v>
      </c>
      <c r="J62" s="38">
        <v>1.61</v>
      </c>
      <c r="K62" s="38">
        <v>1.82</v>
      </c>
      <c r="L62" s="38">
        <v>2.04</v>
      </c>
      <c r="M62" s="38">
        <v>2.27</v>
      </c>
      <c r="N62" s="38">
        <v>2.77</v>
      </c>
      <c r="O62" s="38">
        <v>3.31</v>
      </c>
      <c r="P62" s="38">
        <v>3.89</v>
      </c>
      <c r="Q62" s="38">
        <v>4.5</v>
      </c>
      <c r="R62" s="38">
        <v>5.15</v>
      </c>
    </row>
    <row r="63" spans="2:18" ht="14.25" customHeight="1" x14ac:dyDescent="0.35">
      <c r="B63" s="34">
        <v>1.6</v>
      </c>
      <c r="C63" s="39">
        <v>0.40799999999999997</v>
      </c>
      <c r="D63" s="38">
        <v>0.51700000000000002</v>
      </c>
      <c r="E63" s="38">
        <v>0.64</v>
      </c>
      <c r="F63" s="38">
        <v>0.77500000000000002</v>
      </c>
      <c r="G63" s="38">
        <v>0.92400000000000004</v>
      </c>
      <c r="H63" s="38">
        <v>1.0900000000000001</v>
      </c>
      <c r="I63" s="38">
        <v>1.25</v>
      </c>
      <c r="J63" s="38">
        <v>1.43</v>
      </c>
      <c r="K63" s="38">
        <v>1.61</v>
      </c>
      <c r="L63" s="38">
        <v>1.81</v>
      </c>
      <c r="M63" s="38">
        <v>2.02</v>
      </c>
      <c r="N63" s="38">
        <v>2.46</v>
      </c>
      <c r="O63" s="38">
        <v>2.95</v>
      </c>
      <c r="P63" s="38">
        <v>3.48</v>
      </c>
      <c r="Q63" s="38">
        <v>4.04</v>
      </c>
      <c r="R63" s="38">
        <v>4.6399999999999997</v>
      </c>
    </row>
    <row r="64" spans="2:18" ht="15.75" customHeight="1" x14ac:dyDescent="0.35">
      <c r="B64" s="34">
        <v>1.8</v>
      </c>
      <c r="C64" s="40">
        <v>0.36299999999999999</v>
      </c>
      <c r="D64" s="38">
        <v>0.46100000000000002</v>
      </c>
      <c r="E64" s="38">
        <v>0.56999999999999995</v>
      </c>
      <c r="F64" s="38">
        <v>0.69099999999999995</v>
      </c>
      <c r="G64" s="38">
        <v>0.82499999999999996</v>
      </c>
      <c r="H64" s="38">
        <v>0.97</v>
      </c>
      <c r="I64" s="38">
        <v>1.1200000000000001</v>
      </c>
      <c r="J64" s="38">
        <v>1.28</v>
      </c>
      <c r="K64" s="38">
        <v>1.45</v>
      </c>
      <c r="L64" s="38">
        <v>1.62</v>
      </c>
      <c r="M64" s="38">
        <v>1.81</v>
      </c>
      <c r="N64" s="38">
        <v>2.2200000000000002</v>
      </c>
      <c r="O64" s="38">
        <v>2.66</v>
      </c>
      <c r="P64" s="38">
        <v>3.14</v>
      </c>
      <c r="Q64" s="38">
        <v>3.66</v>
      </c>
      <c r="R64" s="38">
        <v>4.21</v>
      </c>
    </row>
    <row r="65" spans="2:18" ht="15.75" customHeight="1" x14ac:dyDescent="0.35">
      <c r="B65" s="34">
        <v>2</v>
      </c>
      <c r="C65" s="40">
        <v>0.32800000000000001</v>
      </c>
      <c r="D65" s="38">
        <v>0.41499999999999998</v>
      </c>
      <c r="E65" s="38">
        <v>0.51400000000000001</v>
      </c>
      <c r="F65" s="38">
        <v>0.623</v>
      </c>
      <c r="G65" s="38">
        <v>0.74399999999999999</v>
      </c>
      <c r="H65" s="38">
        <v>0.877</v>
      </c>
      <c r="I65" s="38">
        <v>1.01</v>
      </c>
      <c r="J65" s="38">
        <v>1.1599999999999999</v>
      </c>
      <c r="K65" s="38">
        <v>1.31</v>
      </c>
      <c r="L65" s="38">
        <v>1.47</v>
      </c>
      <c r="M65" s="38">
        <v>1.64</v>
      </c>
      <c r="N65" s="38">
        <v>2.0099999999999998</v>
      </c>
      <c r="O65" s="38">
        <v>2.42</v>
      </c>
      <c r="P65" s="38">
        <v>2.86</v>
      </c>
      <c r="Q65" s="38">
        <v>3.34</v>
      </c>
      <c r="R65" s="38">
        <v>3.85</v>
      </c>
    </row>
    <row r="66" spans="2:18" ht="15.75" customHeight="1" x14ac:dyDescent="0.35">
      <c r="B66" s="34">
        <v>2.2000000000000002</v>
      </c>
      <c r="C66" s="40">
        <v>0.29799999999999999</v>
      </c>
      <c r="D66" s="38">
        <v>0.378</v>
      </c>
      <c r="E66" s="38">
        <v>0.46800000000000003</v>
      </c>
      <c r="F66" s="38">
        <v>0.56699999999999995</v>
      </c>
      <c r="G66" s="38">
        <v>0.67800000000000005</v>
      </c>
      <c r="H66" s="38">
        <v>0.8</v>
      </c>
      <c r="I66" s="38">
        <v>0.92600000000000005</v>
      </c>
      <c r="J66" s="38">
        <v>1.06</v>
      </c>
      <c r="K66" s="38">
        <v>1.2</v>
      </c>
      <c r="L66" s="38">
        <v>1.35</v>
      </c>
      <c r="M66" s="38">
        <v>1.5</v>
      </c>
      <c r="N66" s="38">
        <v>1.84</v>
      </c>
      <c r="O66" s="38">
        <v>2.2200000000000002</v>
      </c>
      <c r="P66" s="38">
        <v>2.62</v>
      </c>
      <c r="Q66" s="38">
        <v>3.07</v>
      </c>
      <c r="R66" s="38">
        <v>3.54</v>
      </c>
    </row>
    <row r="67" spans="2:18" ht="15.75" customHeight="1" x14ac:dyDescent="0.35">
      <c r="B67" s="34">
        <v>2.4</v>
      </c>
      <c r="C67" s="40">
        <v>0.27400000000000002</v>
      </c>
      <c r="D67" s="38">
        <v>0.34699999999999998</v>
      </c>
      <c r="E67" s="38">
        <v>0.42899999999999999</v>
      </c>
      <c r="F67" s="38">
        <v>0.52100000000000002</v>
      </c>
      <c r="G67" s="38">
        <v>0.623</v>
      </c>
      <c r="H67" s="38">
        <v>0.73499999999999999</v>
      </c>
      <c r="I67" s="38">
        <v>0.85199999999999998</v>
      </c>
      <c r="J67" s="38">
        <v>0.97299999999999998</v>
      </c>
      <c r="K67" s="38">
        <v>1.1000000000000001</v>
      </c>
      <c r="L67" s="38">
        <v>1.24</v>
      </c>
      <c r="M67" s="38">
        <v>1.38</v>
      </c>
      <c r="N67" s="38">
        <v>1.7</v>
      </c>
      <c r="O67" s="38">
        <v>2.04</v>
      </c>
      <c r="P67" s="38">
        <v>2.42</v>
      </c>
      <c r="Q67" s="38">
        <v>2.84</v>
      </c>
      <c r="R67" s="38">
        <v>3.28</v>
      </c>
    </row>
    <row r="68" spans="2:18" ht="15.75" customHeight="1" x14ac:dyDescent="0.35">
      <c r="B68" s="34">
        <v>2.6</v>
      </c>
      <c r="C68" s="40">
        <v>0.253</v>
      </c>
      <c r="D68" s="38">
        <v>0.32</v>
      </c>
      <c r="E68" s="38">
        <v>0.39600000000000002</v>
      </c>
      <c r="F68" s="38">
        <v>0.48099999999999998</v>
      </c>
      <c r="G68" s="38">
        <v>0.57599999999999996</v>
      </c>
      <c r="H68" s="38">
        <v>0.68</v>
      </c>
      <c r="I68" s="38">
        <v>0.78800000000000003</v>
      </c>
      <c r="J68" s="38">
        <v>0.90100000000000002</v>
      </c>
      <c r="K68" s="38">
        <v>1.02</v>
      </c>
      <c r="L68" s="38">
        <v>1.1499999999999999</v>
      </c>
      <c r="M68" s="38">
        <v>1.28</v>
      </c>
      <c r="N68" s="38">
        <v>1.57</v>
      </c>
      <c r="O68" s="38">
        <v>1.9</v>
      </c>
      <c r="P68" s="38">
        <v>2.25</v>
      </c>
      <c r="Q68" s="38">
        <v>2.64</v>
      </c>
      <c r="R68" s="38">
        <v>3.05</v>
      </c>
    </row>
    <row r="69" spans="2:18" ht="15.75" customHeight="1" x14ac:dyDescent="0.35">
      <c r="B69" s="34">
        <v>2.8</v>
      </c>
      <c r="C69" s="40">
        <v>0.23499999999999999</v>
      </c>
      <c r="D69" s="38">
        <v>0.29699999999999999</v>
      </c>
      <c r="E69" s="38">
        <v>0.36799999999999999</v>
      </c>
      <c r="F69" s="38">
        <v>0.44700000000000001</v>
      </c>
      <c r="G69" s="38">
        <v>0.53500000000000003</v>
      </c>
      <c r="H69" s="38">
        <v>0.63200000000000001</v>
      </c>
      <c r="I69" s="38">
        <v>0.73399999999999999</v>
      </c>
      <c r="J69" s="38">
        <v>0.83899999999999997</v>
      </c>
      <c r="K69" s="38">
        <v>0.95</v>
      </c>
      <c r="L69" s="38">
        <v>1.07</v>
      </c>
      <c r="M69" s="38">
        <v>1.19</v>
      </c>
      <c r="N69" s="38">
        <v>1.47</v>
      </c>
      <c r="O69" s="38">
        <v>1.77</v>
      </c>
      <c r="P69" s="38">
        <v>2.1</v>
      </c>
      <c r="Q69" s="38">
        <v>2.46</v>
      </c>
      <c r="R69" s="38">
        <v>2.85</v>
      </c>
    </row>
    <row r="70" spans="2:18" ht="15.75" customHeight="1" x14ac:dyDescent="0.35">
      <c r="B70" s="34">
        <v>3</v>
      </c>
      <c r="C70" s="38">
        <v>0.219</v>
      </c>
      <c r="D70" s="38">
        <v>0.27800000000000002</v>
      </c>
      <c r="E70" s="38">
        <v>0.34300000000000003</v>
      </c>
      <c r="F70" s="38">
        <v>0.41699999999999998</v>
      </c>
      <c r="G70" s="38">
        <v>0.5</v>
      </c>
      <c r="H70" s="38">
        <v>0.59099999999999997</v>
      </c>
      <c r="I70" s="38">
        <v>0.68600000000000005</v>
      </c>
      <c r="J70" s="38">
        <v>0.78400000000000003</v>
      </c>
      <c r="K70" s="38">
        <v>0.88900000000000001</v>
      </c>
      <c r="L70" s="38">
        <v>1</v>
      </c>
      <c r="M70" s="38">
        <v>1.1200000000000001</v>
      </c>
      <c r="N70" s="38">
        <v>1.37</v>
      </c>
      <c r="O70" s="38">
        <v>1.66</v>
      </c>
      <c r="P70" s="38">
        <v>1.97</v>
      </c>
      <c r="Q70" s="38">
        <v>2.31</v>
      </c>
      <c r="R70" s="38">
        <v>2.68</v>
      </c>
    </row>
    <row r="71" spans="2:18" ht="15.75" customHeight="1" x14ac:dyDescent="0.35">
      <c r="B71" s="41" t="s">
        <v>124</v>
      </c>
      <c r="C71" s="42">
        <v>0</v>
      </c>
      <c r="D71" s="42">
        <v>8.0000000000000002E-3</v>
      </c>
      <c r="E71" s="42">
        <v>2.9000000000000001E-2</v>
      </c>
      <c r="F71" s="42">
        <v>5.6000000000000001E-2</v>
      </c>
      <c r="G71" s="42">
        <v>8.8999999999999996E-2</v>
      </c>
      <c r="H71" s="42">
        <v>0.125</v>
      </c>
      <c r="I71" s="42">
        <v>0.16400000000000001</v>
      </c>
      <c r="J71" s="42">
        <v>0.20399999999999999</v>
      </c>
      <c r="K71" s="42">
        <v>0.246</v>
      </c>
      <c r="L71" s="42">
        <v>0.28899999999999998</v>
      </c>
      <c r="M71" s="42">
        <v>0.33300000000000002</v>
      </c>
      <c r="N71" s="42">
        <v>0.42399999999999999</v>
      </c>
      <c r="O71" s="42">
        <v>0.51600000000000001</v>
      </c>
      <c r="P71" s="42">
        <v>0.61</v>
      </c>
      <c r="Q71" s="42">
        <v>0.70399999999999996</v>
      </c>
      <c r="R71" s="42">
        <v>0.8</v>
      </c>
    </row>
  </sheetData>
  <mergeCells count="10">
    <mergeCell ref="B46:B47"/>
    <mergeCell ref="C46:R46"/>
    <mergeCell ref="F10:G10"/>
    <mergeCell ref="H10:I10"/>
    <mergeCell ref="J10:K10"/>
    <mergeCell ref="L10:M10"/>
    <mergeCell ref="G21:H21"/>
    <mergeCell ref="J21:K21"/>
    <mergeCell ref="M21:N21"/>
    <mergeCell ref="O21:P21"/>
  </mergeCell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5">
    <tabColor theme="6"/>
    <pageSetUpPr fitToPage="1"/>
  </sheetPr>
  <dimension ref="B1:Y51"/>
  <sheetViews>
    <sheetView tabSelected="1" workbookViewId="0">
      <selection activeCell="C20" sqref="C20:D20"/>
    </sheetView>
  </sheetViews>
  <sheetFormatPr defaultColWidth="14.453125" defaultRowHeight="15" customHeight="1" x14ac:dyDescent="0.35"/>
  <cols>
    <col min="1" max="22" width="9" customWidth="1"/>
    <col min="23" max="24" width="9.1796875" customWidth="1"/>
    <col min="25" max="25" width="9" customWidth="1"/>
    <col min="26" max="26" width="8.81640625" customWidth="1"/>
  </cols>
  <sheetData>
    <row r="1" spans="2:25" ht="15" customHeight="1" x14ac:dyDescent="0.35">
      <c r="Y1" s="115"/>
    </row>
    <row r="2" spans="2:25" ht="15" customHeight="1" x14ac:dyDescent="0.35">
      <c r="Y2" s="115"/>
    </row>
    <row r="3" spans="2:25" ht="15" customHeight="1" x14ac:dyDescent="0.35">
      <c r="B3" s="43"/>
      <c r="C3" s="43"/>
      <c r="D3" s="43"/>
      <c r="E3" s="43"/>
      <c r="F3" s="44"/>
      <c r="G3" s="43"/>
      <c r="H3" s="43"/>
      <c r="K3" s="146" t="s">
        <v>112</v>
      </c>
      <c r="L3" s="133" t="s">
        <v>125</v>
      </c>
      <c r="M3" s="126"/>
      <c r="N3" s="133" t="s">
        <v>14</v>
      </c>
      <c r="O3" s="126"/>
      <c r="P3" s="133" t="s">
        <v>126</v>
      </c>
      <c r="Q3" s="126"/>
      <c r="R3" s="133" t="s">
        <v>165</v>
      </c>
      <c r="S3" s="126"/>
      <c r="T3" s="98" t="s">
        <v>203</v>
      </c>
      <c r="U3" s="136" t="s">
        <v>204</v>
      </c>
      <c r="V3" s="126"/>
      <c r="W3" s="43"/>
      <c r="X3" s="45"/>
      <c r="Y3" s="115"/>
    </row>
    <row r="4" spans="2:25" ht="15" customHeight="1" x14ac:dyDescent="0.35">
      <c r="B4" s="50" t="s">
        <v>63</v>
      </c>
      <c r="C4" s="51">
        <f>D23</f>
        <v>5</v>
      </c>
      <c r="D4" s="80" t="s">
        <v>200</v>
      </c>
      <c r="E4" s="100">
        <f>D21</f>
        <v>100</v>
      </c>
      <c r="F4" s="44"/>
      <c r="G4" s="43"/>
      <c r="H4" s="43"/>
      <c r="I4" s="43"/>
      <c r="J4" s="43"/>
      <c r="K4" s="130"/>
      <c r="L4" s="142" t="str">
        <f>'Diag CJ Apernada'!$C$20</f>
        <v>CJ 100x100x5</v>
      </c>
      <c r="M4" s="128"/>
      <c r="N4" s="47" t="s">
        <v>82</v>
      </c>
      <c r="O4" s="47" t="s">
        <v>178</v>
      </c>
      <c r="P4" s="142" t="str">
        <f>CONCATENATE('Diag CJ Apernada'!I18,"% tracción")</f>
        <v>100% tracción</v>
      </c>
      <c r="Q4" s="128"/>
      <c r="R4" s="139" t="str">
        <f>'Diag CJ Apernada'!D46</f>
        <v>Aplast.</v>
      </c>
      <c r="S4" s="128"/>
      <c r="T4" s="153">
        <f>'Diag CJ Apernada'!I46</f>
        <v>0.75806451612903225</v>
      </c>
      <c r="U4" s="140" t="str">
        <f>IF('Diag CJ Apernada'!D45="Estandar","1.2 - Dist Libres","1.0 - Dist Libres")</f>
        <v>1.2 - Dist Libres</v>
      </c>
      <c r="V4" s="128"/>
      <c r="W4" s="43"/>
      <c r="X4" s="45"/>
      <c r="Y4" s="115"/>
    </row>
    <row r="5" spans="2:25" ht="15" customHeight="1" x14ac:dyDescent="0.35">
      <c r="B5" s="50" t="s">
        <v>161</v>
      </c>
      <c r="C5" s="51">
        <f>C4+D23/2</f>
        <v>7.5</v>
      </c>
      <c r="D5" s="80" t="s">
        <v>205</v>
      </c>
      <c r="E5" s="100">
        <f>E4-2*D23</f>
        <v>90</v>
      </c>
      <c r="F5" s="44"/>
      <c r="G5" s="43"/>
      <c r="H5" s="43"/>
      <c r="I5" s="43"/>
      <c r="J5" s="43"/>
      <c r="K5" s="123"/>
      <c r="L5" s="138" t="str">
        <f>'Diag CJ Apernada'!$C$19</f>
        <v>CJ 10x14,4</v>
      </c>
      <c r="M5" s="129"/>
      <c r="N5" s="121" t="str">
        <f>C28</f>
        <v>A36</v>
      </c>
      <c r="O5" s="88" t="str">
        <f>C32</f>
        <v>A36</v>
      </c>
      <c r="P5" s="138" t="str">
        <f>CONCATENATE(ROUND('Diag CJ Apernada'!I19,0)," [kgf]")</f>
        <v>30971 [kgf]</v>
      </c>
      <c r="Q5" s="129"/>
      <c r="R5" s="138" t="str">
        <f>CONCATENATE("Perf ",'Diag CJ Apernada'!D45)</f>
        <v>Perf Estandar</v>
      </c>
      <c r="S5" s="129"/>
      <c r="T5" s="123"/>
      <c r="U5" s="137" t="str">
        <f>IF('Diag CJ Apernada'!D45="Estandar","2.4 - Diámetro Pernos","2.0 - Diámetro Pernos")</f>
        <v>2.4 - Diámetro Pernos</v>
      </c>
      <c r="V5" s="129"/>
      <c r="W5" s="43"/>
      <c r="X5" s="45"/>
      <c r="Y5" s="115"/>
    </row>
    <row r="6" spans="2:25" ht="15" customHeight="1" x14ac:dyDescent="0.35">
      <c r="B6" s="50" t="s">
        <v>122</v>
      </c>
      <c r="C6" s="71">
        <f>D21-2*(D23+C4)</f>
        <v>80</v>
      </c>
      <c r="D6" s="80" t="s">
        <v>161</v>
      </c>
      <c r="E6" s="80">
        <f>E4/2-D23/2</f>
        <v>47.5</v>
      </c>
      <c r="F6" s="44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5"/>
      <c r="Y6" s="115"/>
    </row>
    <row r="7" spans="2:25" ht="15" customHeight="1" x14ac:dyDescent="0.35">
      <c r="B7" s="50" t="s">
        <v>166</v>
      </c>
      <c r="C7" s="71">
        <f>D22-2*(D23+C4)</f>
        <v>80</v>
      </c>
      <c r="D7" s="43"/>
      <c r="E7" s="67">
        <f>D21/25.4-ROUNDDOWN(D21/25.4,0)</f>
        <v>0.93700787401574814</v>
      </c>
      <c r="F7" s="44"/>
      <c r="G7" s="43"/>
      <c r="H7" s="43"/>
      <c r="I7" s="43"/>
      <c r="J7" s="43"/>
      <c r="K7" s="48" t="s">
        <v>191</v>
      </c>
      <c r="L7" s="97" t="s">
        <v>168</v>
      </c>
      <c r="M7" s="48" t="s">
        <v>169</v>
      </c>
      <c r="N7" s="48" t="s">
        <v>170</v>
      </c>
      <c r="O7" s="48" t="s">
        <v>66</v>
      </c>
      <c r="P7" s="48" t="s">
        <v>127</v>
      </c>
      <c r="Q7" s="48" t="s">
        <v>171</v>
      </c>
      <c r="R7" s="48" t="s">
        <v>172</v>
      </c>
      <c r="S7" s="48" t="s">
        <v>194</v>
      </c>
      <c r="T7" s="48" t="s">
        <v>173</v>
      </c>
      <c r="U7" s="48" t="s">
        <v>193</v>
      </c>
      <c r="V7" s="48" t="s">
        <v>206</v>
      </c>
      <c r="W7" s="43"/>
      <c r="X7" s="45"/>
      <c r="Y7" s="115"/>
    </row>
    <row r="8" spans="2:25" ht="15" customHeight="1" x14ac:dyDescent="0.35">
      <c r="B8" s="50" t="s">
        <v>167</v>
      </c>
      <c r="C8" s="50">
        <f>PI()*C5/2</f>
        <v>11.780972450961723</v>
      </c>
      <c r="D8" s="43"/>
      <c r="E8" s="101"/>
      <c r="F8" s="44"/>
      <c r="G8" s="43"/>
      <c r="H8" s="43"/>
      <c r="I8" s="43"/>
      <c r="J8" s="43"/>
      <c r="K8" s="49" t="s">
        <v>34</v>
      </c>
      <c r="L8" s="92" t="s">
        <v>34</v>
      </c>
      <c r="M8" s="49" t="s">
        <v>33</v>
      </c>
      <c r="N8" s="49" t="s">
        <v>1</v>
      </c>
      <c r="O8" s="49" t="s">
        <v>1</v>
      </c>
      <c r="P8" s="49" t="s">
        <v>1</v>
      </c>
      <c r="Q8" s="49" t="s">
        <v>34</v>
      </c>
      <c r="R8" s="49" t="s">
        <v>34</v>
      </c>
      <c r="S8" s="49" t="s">
        <v>34</v>
      </c>
      <c r="T8" s="49" t="s">
        <v>34</v>
      </c>
      <c r="U8" s="49" t="s">
        <v>34</v>
      </c>
      <c r="V8" s="49" t="s">
        <v>34</v>
      </c>
      <c r="W8" s="43"/>
      <c r="X8" s="45"/>
      <c r="Y8" s="115"/>
    </row>
    <row r="9" spans="2:25" ht="15" customHeight="1" x14ac:dyDescent="0.35">
      <c r="B9" s="43"/>
      <c r="C9" s="43"/>
      <c r="D9" s="43"/>
      <c r="E9" s="43"/>
      <c r="F9" s="44"/>
      <c r="G9" s="43"/>
      <c r="H9" s="43"/>
      <c r="I9" s="43"/>
      <c r="J9" s="43"/>
      <c r="K9" s="143">
        <f>'Diag CJ Apernada'!I41</f>
        <v>14</v>
      </c>
      <c r="L9" s="143">
        <f>I41</f>
        <v>14</v>
      </c>
      <c r="M9" s="147">
        <f>'Diag CJ Apernada'!D39</f>
        <v>0.75</v>
      </c>
      <c r="N9" s="141" t="str">
        <f>'Diag CJ Apernada'!D38</f>
        <v>A325</v>
      </c>
      <c r="O9" s="141">
        <f>'Diag CJ Apernada'!D50</f>
        <v>6</v>
      </c>
      <c r="P9" s="141">
        <f>'Diag CJ Apernada'!D51</f>
        <v>2</v>
      </c>
      <c r="Q9" s="141">
        <f>I22</f>
        <v>80</v>
      </c>
      <c r="R9" s="141">
        <f>I23</f>
        <v>40</v>
      </c>
      <c r="S9" s="141">
        <f>I24</f>
        <v>80</v>
      </c>
      <c r="T9" s="141">
        <f>'Diag CJ Apernada'!I23</f>
        <v>40</v>
      </c>
      <c r="U9" s="143">
        <f>'Diag CJ Apernada'!M47</f>
        <v>160</v>
      </c>
      <c r="V9" s="143">
        <f>M28</f>
        <v>180</v>
      </c>
      <c r="W9" s="43"/>
      <c r="X9" s="45"/>
      <c r="Y9" s="115"/>
    </row>
    <row r="10" spans="2:25" ht="15" customHeight="1" x14ac:dyDescent="0.35">
      <c r="B10" s="43"/>
      <c r="C10" s="43"/>
      <c r="D10" s="43"/>
      <c r="E10" s="43"/>
      <c r="F10" s="44"/>
      <c r="G10" s="43"/>
      <c r="H10" s="43"/>
      <c r="I10" s="43"/>
      <c r="J10" s="4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43"/>
      <c r="X10" s="45"/>
      <c r="Y10" s="115"/>
    </row>
    <row r="11" spans="2:25" ht="15" customHeight="1" x14ac:dyDescent="0.35">
      <c r="B11" s="43"/>
      <c r="C11" s="43"/>
      <c r="D11" s="43"/>
      <c r="E11" s="43"/>
      <c r="F11" s="44"/>
      <c r="G11" s="43"/>
      <c r="H11" s="43"/>
      <c r="I11" s="43"/>
      <c r="J11" s="43"/>
      <c r="K11" s="43"/>
      <c r="L11" s="43"/>
      <c r="M11" s="43"/>
      <c r="N11" s="43"/>
      <c r="O11" s="45"/>
      <c r="P11" s="43"/>
      <c r="Q11" s="43"/>
      <c r="R11" s="43"/>
      <c r="S11" s="43"/>
      <c r="T11" s="43"/>
      <c r="U11" s="43"/>
      <c r="V11" s="43"/>
      <c r="W11" s="43"/>
      <c r="X11" s="45"/>
      <c r="Y11" s="115"/>
    </row>
    <row r="12" spans="2:25" ht="15" customHeight="1" x14ac:dyDescent="0.35">
      <c r="B12" s="43"/>
      <c r="C12" s="43"/>
      <c r="D12" s="43"/>
      <c r="E12" s="43"/>
      <c r="F12" s="44"/>
      <c r="G12" s="43"/>
      <c r="H12" s="43"/>
      <c r="I12" s="43"/>
      <c r="J12" s="43"/>
      <c r="K12" s="135" t="s">
        <v>202</v>
      </c>
      <c r="L12" s="145"/>
      <c r="M12" s="145"/>
      <c r="N12" s="128"/>
      <c r="O12" s="135" t="s">
        <v>207</v>
      </c>
      <c r="P12" s="128"/>
      <c r="Q12" s="133" t="s">
        <v>208</v>
      </c>
      <c r="R12" s="125"/>
      <c r="S12" s="125"/>
      <c r="T12" s="126"/>
      <c r="U12" s="133" t="s">
        <v>209</v>
      </c>
      <c r="V12" s="125"/>
      <c r="W12" s="125"/>
      <c r="X12" s="126"/>
      <c r="Y12" s="115"/>
    </row>
    <row r="13" spans="2:25" ht="15" customHeight="1" x14ac:dyDescent="0.35">
      <c r="B13" s="43"/>
      <c r="C13" s="43"/>
      <c r="D13" s="43"/>
      <c r="E13" s="43"/>
      <c r="F13" s="44"/>
      <c r="G13" s="43"/>
      <c r="H13" s="43"/>
      <c r="I13" s="43"/>
      <c r="J13" s="43"/>
      <c r="K13" s="48" t="s">
        <v>159</v>
      </c>
      <c r="L13" s="91" t="s">
        <v>158</v>
      </c>
      <c r="M13" s="48" t="s">
        <v>210</v>
      </c>
      <c r="N13" s="48" t="s">
        <v>211</v>
      </c>
      <c r="O13" s="48" t="s">
        <v>192</v>
      </c>
      <c r="P13" s="48" t="s">
        <v>211</v>
      </c>
      <c r="Q13" s="151" t="s">
        <v>212</v>
      </c>
      <c r="R13" s="126"/>
      <c r="S13" s="133" t="s">
        <v>213</v>
      </c>
      <c r="T13" s="126"/>
      <c r="U13" s="133" t="s">
        <v>212</v>
      </c>
      <c r="V13" s="126"/>
      <c r="W13" s="133" t="s">
        <v>213</v>
      </c>
      <c r="X13" s="126"/>
      <c r="Y13" s="115"/>
    </row>
    <row r="14" spans="2:25" ht="15" customHeight="1" x14ac:dyDescent="0.35">
      <c r="B14" s="43"/>
      <c r="C14" s="43"/>
      <c r="D14" s="43"/>
      <c r="E14" s="43"/>
      <c r="F14" s="44"/>
      <c r="G14" s="43"/>
      <c r="H14" s="43"/>
      <c r="I14" s="43"/>
      <c r="J14" s="43"/>
      <c r="K14" s="84" t="s">
        <v>34</v>
      </c>
      <c r="L14" s="102" t="s">
        <v>34</v>
      </c>
      <c r="M14" s="49" t="s">
        <v>34</v>
      </c>
      <c r="N14" s="49" t="s">
        <v>34</v>
      </c>
      <c r="O14" s="49" t="s">
        <v>34</v>
      </c>
      <c r="P14" s="49" t="s">
        <v>34</v>
      </c>
      <c r="Q14" s="103" t="s">
        <v>195</v>
      </c>
      <c r="R14" s="47" t="s">
        <v>214</v>
      </c>
      <c r="S14" s="47" t="s">
        <v>195</v>
      </c>
      <c r="T14" s="47" t="s">
        <v>214</v>
      </c>
      <c r="U14" s="95" t="s">
        <v>180</v>
      </c>
      <c r="V14" s="85" t="s">
        <v>215</v>
      </c>
      <c r="W14" s="95" t="s">
        <v>180</v>
      </c>
      <c r="X14" s="85" t="s">
        <v>215</v>
      </c>
      <c r="Y14" s="115"/>
    </row>
    <row r="15" spans="2:25" ht="15" customHeight="1" x14ac:dyDescent="0.35">
      <c r="B15" s="43"/>
      <c r="C15" s="43"/>
      <c r="D15" s="43"/>
      <c r="E15" s="43"/>
      <c r="F15" s="44"/>
      <c r="G15" s="43"/>
      <c r="H15" s="43"/>
      <c r="I15" s="43"/>
      <c r="J15" s="43"/>
      <c r="K15" s="134">
        <f>IF(L15="NA","NA",IF(D21=D22,I27,CONCATENATE(D21-6*D23," / ",D22-6*D23)))</f>
        <v>70</v>
      </c>
      <c r="L15" s="134">
        <f>IF(I26=0,"NA",I26)</f>
        <v>5</v>
      </c>
      <c r="M15" s="152">
        <f>IF(L15="NA","NA",IF(D21=D22,2*I27,CONCATENATE(2*I27," / ",2*(D22-6*D23))))</f>
        <v>140</v>
      </c>
      <c r="N15" s="152">
        <f>IF(M15="NA","NA",X29)</f>
        <v>4</v>
      </c>
      <c r="O15" s="155">
        <f>'Diag CJ Apernada'!T31</f>
        <v>155</v>
      </c>
      <c r="P15" s="154">
        <f>'Diag CJ Apernada'!T29</f>
        <v>5</v>
      </c>
      <c r="Q15" s="104">
        <f>Q44</f>
        <v>5</v>
      </c>
      <c r="R15" s="105">
        <f>Q46</f>
        <v>300</v>
      </c>
      <c r="S15" s="89">
        <f>S44</f>
        <v>5</v>
      </c>
      <c r="T15" s="52">
        <f>S46</f>
        <v>210</v>
      </c>
      <c r="U15" s="106">
        <f>'Diag CJ Apernada'!O27</f>
        <v>14</v>
      </c>
      <c r="V15" s="106">
        <f>'Diag CJ Apernada'!O30</f>
        <v>210</v>
      </c>
      <c r="W15" s="106">
        <f>'Diag CJ Apernada'!M27</f>
        <v>14</v>
      </c>
      <c r="X15" s="106">
        <f>'Diag CJ Apernada'!M30</f>
        <v>390</v>
      </c>
      <c r="Y15" s="115"/>
    </row>
    <row r="16" spans="2:25" ht="15" customHeight="1" x14ac:dyDescent="0.35">
      <c r="B16" s="55" t="s">
        <v>134</v>
      </c>
      <c r="C16" s="43"/>
      <c r="D16" s="43"/>
      <c r="E16" s="43"/>
      <c r="F16" s="44"/>
      <c r="G16" s="55" t="s">
        <v>126</v>
      </c>
      <c r="H16" s="46"/>
      <c r="I16" s="53"/>
      <c r="J16" s="71"/>
      <c r="K16" s="123"/>
      <c r="L16" s="123"/>
      <c r="M16" s="123"/>
      <c r="N16" s="123"/>
      <c r="O16" s="123"/>
      <c r="P16" s="123"/>
      <c r="Q16" s="104">
        <f>R44</f>
        <v>6</v>
      </c>
      <c r="R16" s="105">
        <f>R46</f>
        <v>250</v>
      </c>
      <c r="S16" s="89">
        <f>T44</f>
        <v>6</v>
      </c>
      <c r="T16" s="52">
        <f>T46</f>
        <v>180</v>
      </c>
      <c r="U16" s="106">
        <f>'Diag CJ Apernada'!P27</f>
        <v>16</v>
      </c>
      <c r="V16" s="106">
        <f>'Diag CJ Apernada'!P30</f>
        <v>310</v>
      </c>
      <c r="W16" s="106">
        <f>N27</f>
        <v>16</v>
      </c>
      <c r="X16" s="106">
        <f>'Diag CJ Apernada'!N30</f>
        <v>570</v>
      </c>
      <c r="Y16" s="115"/>
    </row>
    <row r="17" spans="2:25" ht="15" customHeight="1" x14ac:dyDescent="0.35"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</row>
    <row r="18" spans="2:25" ht="15" customHeight="1" x14ac:dyDescent="0.35">
      <c r="B18" s="99" t="s">
        <v>69</v>
      </c>
      <c r="C18" s="127" t="s">
        <v>82</v>
      </c>
      <c r="D18" s="126"/>
      <c r="E18" s="43"/>
      <c r="F18" s="44"/>
      <c r="G18" s="79"/>
      <c r="H18" s="57" t="s">
        <v>174</v>
      </c>
      <c r="I18" s="62">
        <v>100</v>
      </c>
      <c r="J18" s="55" t="s">
        <v>162</v>
      </c>
      <c r="K18" s="133" t="s">
        <v>128</v>
      </c>
      <c r="L18" s="125"/>
      <c r="M18" s="125"/>
      <c r="N18" s="125"/>
      <c r="O18" s="125"/>
      <c r="P18" s="125"/>
      <c r="Q18" s="125"/>
      <c r="R18" s="125"/>
      <c r="S18" s="125"/>
      <c r="T18" s="126"/>
      <c r="U18" s="59"/>
      <c r="V18" s="59"/>
      <c r="W18" s="43"/>
      <c r="X18" s="45"/>
      <c r="Y18" s="43"/>
    </row>
    <row r="19" spans="2:25" ht="15" customHeight="1" x14ac:dyDescent="0.35">
      <c r="B19" s="99"/>
      <c r="C19" s="148" t="str">
        <f>IF(C18="Cajón",CONCATENATE("CJ ",D21/10,"x",ROUND(D24*0.00785,1)),CONCATENATE("O ",ROUNDDOWN((D21)/25.4,0),"_",TEXT(E7,"0/0"),"x",ROUND(D24*0.00785,1)))</f>
        <v>CJ 10x14,4</v>
      </c>
      <c r="D19" s="128"/>
      <c r="E19" s="59"/>
      <c r="F19" s="44"/>
      <c r="G19" s="56">
        <f>(I18/100)*(D29*0.703*D24)/1.5</f>
        <v>30970.571343852524</v>
      </c>
      <c r="H19" s="57" t="s">
        <v>118</v>
      </c>
      <c r="I19" s="66">
        <f>(I18/100)*(D29*0.703*D24)/1.5</f>
        <v>30970.571343852524</v>
      </c>
      <c r="J19" s="75" t="s">
        <v>51</v>
      </c>
      <c r="K19" s="133" t="s">
        <v>69</v>
      </c>
      <c r="L19" s="125"/>
      <c r="M19" s="125"/>
      <c r="N19" s="126"/>
      <c r="O19" s="133" t="s">
        <v>178</v>
      </c>
      <c r="P19" s="125"/>
      <c r="Q19" s="125"/>
      <c r="R19" s="125"/>
      <c r="S19" s="125"/>
      <c r="T19" s="126"/>
      <c r="U19" s="43"/>
      <c r="V19" s="43"/>
      <c r="W19" s="43"/>
      <c r="X19" s="45"/>
      <c r="Y19" s="43"/>
    </row>
    <row r="20" spans="2:25" ht="15" customHeight="1" x14ac:dyDescent="0.35">
      <c r="B20" s="99"/>
      <c r="C20" s="149" t="str">
        <f>CONCATENATE(IF(C18="Cajón","CJ ","O "),D21,"x",D22,"x",D23)</f>
        <v>CJ 100x100x5</v>
      </c>
      <c r="D20" s="129"/>
      <c r="E20" s="46"/>
      <c r="F20" s="44"/>
      <c r="G20" s="46"/>
      <c r="H20" s="57" t="s">
        <v>216</v>
      </c>
      <c r="I20" s="66">
        <f>I19*COS(PI()/4)</f>
        <v>21899.501014459885</v>
      </c>
      <c r="J20" s="75" t="s">
        <v>51</v>
      </c>
      <c r="K20" s="131" t="s">
        <v>129</v>
      </c>
      <c r="L20" s="131" t="s">
        <v>132</v>
      </c>
      <c r="M20" s="131" t="s">
        <v>197</v>
      </c>
      <c r="N20" s="131" t="s">
        <v>207</v>
      </c>
      <c r="O20" s="131" t="s">
        <v>131</v>
      </c>
      <c r="P20" s="131" t="s">
        <v>132</v>
      </c>
      <c r="Q20" s="131" t="s">
        <v>76</v>
      </c>
      <c r="R20" s="131" t="s">
        <v>130</v>
      </c>
      <c r="S20" s="131" t="s">
        <v>133</v>
      </c>
      <c r="T20" s="131" t="s">
        <v>196</v>
      </c>
      <c r="U20" s="43"/>
      <c r="V20" s="43"/>
      <c r="W20" s="43"/>
      <c r="X20" s="45"/>
      <c r="Y20" s="43"/>
    </row>
    <row r="21" spans="2:25" ht="15" customHeight="1" x14ac:dyDescent="0.35">
      <c r="B21" s="56" t="s">
        <v>135</v>
      </c>
      <c r="C21" s="63" t="s">
        <v>120</v>
      </c>
      <c r="D21" s="107">
        <v>100</v>
      </c>
      <c r="E21" s="55" t="s">
        <v>34</v>
      </c>
      <c r="F21" s="45"/>
      <c r="G21" s="43"/>
      <c r="H21" s="43"/>
      <c r="I21" s="43"/>
      <c r="J21" s="4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43"/>
      <c r="V21" s="43"/>
      <c r="W21" s="43"/>
      <c r="X21" s="45"/>
      <c r="Y21" s="43"/>
    </row>
    <row r="22" spans="2:25" ht="15" customHeight="1" x14ac:dyDescent="0.35">
      <c r="B22" s="56" t="s">
        <v>201</v>
      </c>
      <c r="C22" s="57" t="s">
        <v>136</v>
      </c>
      <c r="D22" s="90">
        <v>100</v>
      </c>
      <c r="E22" s="55" t="s">
        <v>34</v>
      </c>
      <c r="F22" s="55"/>
      <c r="G22" s="58" t="str">
        <f>IF(I22&gt;=D44,"OK","NA")</f>
        <v>OK</v>
      </c>
      <c r="H22" s="57" t="s">
        <v>189</v>
      </c>
      <c r="I22" s="62">
        <v>80</v>
      </c>
      <c r="J22" s="55" t="s">
        <v>34</v>
      </c>
      <c r="K22" s="144">
        <f>'Diag CJ Apernada'!E50</f>
        <v>0.95315718186919796</v>
      </c>
      <c r="L22" s="132">
        <f>'Diag CJ Apernada'!I48</f>
        <v>0.84209173232344836</v>
      </c>
      <c r="M22" s="132">
        <f>IF(X33=0,"NA",X34)</f>
        <v>0.45922959642903083</v>
      </c>
      <c r="N22" s="132">
        <f>'Diag CJ Apernada'!T33</f>
        <v>0.95717972299088605</v>
      </c>
      <c r="O22" s="132">
        <f>'Diag CJ Apernada'!M43</f>
        <v>0.91052552034684253</v>
      </c>
      <c r="P22" s="132">
        <f>'Diag CJ Apernada'!M49</f>
        <v>0.93906987520514695</v>
      </c>
      <c r="Q22" s="132">
        <f>'Diag CJ Apernada'!I42</f>
        <v>0.39555819510044754</v>
      </c>
      <c r="R22" s="132">
        <f>'Diag CJ Apernada'!I34</f>
        <v>0.5248585305282214</v>
      </c>
      <c r="S22" s="132">
        <f>MAX('Diag CJ Apernada'!M37:P37)</f>
        <v>0.99644982243810432</v>
      </c>
      <c r="T22" s="132">
        <f>MAX(Q48:T48)</f>
        <v>0.99912745053212471</v>
      </c>
      <c r="U22" s="43"/>
      <c r="V22" s="43"/>
      <c r="W22" s="43"/>
      <c r="X22" s="45"/>
      <c r="Y22" s="43"/>
    </row>
    <row r="23" spans="2:25" ht="15" customHeight="1" x14ac:dyDescent="0.35">
      <c r="B23" s="56" t="s">
        <v>217</v>
      </c>
      <c r="C23" s="65" t="s">
        <v>137</v>
      </c>
      <c r="D23" s="108">
        <v>5</v>
      </c>
      <c r="E23" s="55" t="s">
        <v>34</v>
      </c>
      <c r="F23" s="55"/>
      <c r="G23" s="58" t="str">
        <f t="shared" ref="G23:G24" si="0">IF(I23&gt;=D43,"OK","NA")</f>
        <v>OK</v>
      </c>
      <c r="H23" s="57" t="s">
        <v>190</v>
      </c>
      <c r="I23" s="62">
        <v>40</v>
      </c>
      <c r="J23" s="55" t="s">
        <v>34</v>
      </c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43"/>
      <c r="V23" s="43"/>
      <c r="W23" s="43"/>
      <c r="X23" s="45"/>
      <c r="Y23" s="43"/>
    </row>
    <row r="24" spans="2:25" ht="15" customHeight="1" x14ac:dyDescent="0.35">
      <c r="B24" s="56" t="s">
        <v>138</v>
      </c>
      <c r="C24" s="57" t="s">
        <v>31</v>
      </c>
      <c r="D24" s="66">
        <f>IF(C18="Cajón",2*D23*(C6+C7+2*C8),PI()/4*(E4^2-E5^2))</f>
        <v>1835.6194490192345</v>
      </c>
      <c r="E24" s="55" t="s">
        <v>218</v>
      </c>
      <c r="F24" s="45"/>
      <c r="G24" s="58" t="str">
        <f t="shared" si="0"/>
        <v>OK</v>
      </c>
      <c r="H24" s="57" t="s">
        <v>188</v>
      </c>
      <c r="I24" s="62">
        <v>80</v>
      </c>
      <c r="J24" s="55" t="s">
        <v>34</v>
      </c>
      <c r="K24" s="43"/>
      <c r="L24" s="43"/>
      <c r="M24" s="43"/>
      <c r="N24" s="44"/>
      <c r="O24" s="43"/>
      <c r="P24" s="50"/>
      <c r="Q24" s="76"/>
      <c r="R24" s="46"/>
      <c r="S24" s="45"/>
      <c r="T24" s="46"/>
      <c r="U24" s="46"/>
      <c r="V24" s="46"/>
      <c r="W24" s="45"/>
      <c r="X24" s="50"/>
      <c r="Y24" s="43"/>
    </row>
    <row r="25" spans="2:25" ht="15" customHeight="1" x14ac:dyDescent="0.35">
      <c r="B25" s="43"/>
      <c r="C25" s="43"/>
      <c r="D25" s="43"/>
      <c r="E25" s="43"/>
      <c r="F25" s="55"/>
      <c r="G25" s="58" t="str">
        <f>IF(I25&gt;=D22+2*T29,"OK","NA")</f>
        <v>OK</v>
      </c>
      <c r="H25" s="57" t="s">
        <v>136</v>
      </c>
      <c r="I25" s="58">
        <f>(D51-1)*I24+2*I23</f>
        <v>160</v>
      </c>
      <c r="J25" s="55" t="s">
        <v>34</v>
      </c>
      <c r="K25" s="55" t="s">
        <v>219</v>
      </c>
      <c r="L25" s="46"/>
      <c r="M25" s="45"/>
      <c r="N25" s="50"/>
      <c r="O25" s="46"/>
      <c r="P25" s="46"/>
      <c r="Q25" s="46"/>
      <c r="R25" s="54" t="s">
        <v>220</v>
      </c>
      <c r="S25" s="43"/>
      <c r="T25" s="43"/>
      <c r="U25" s="43"/>
      <c r="V25" s="54" t="s">
        <v>221</v>
      </c>
      <c r="W25" s="43"/>
      <c r="X25" s="43"/>
      <c r="Y25" s="43"/>
    </row>
    <row r="26" spans="2:25" ht="15" customHeight="1" x14ac:dyDescent="0.35">
      <c r="B26" s="55" t="s">
        <v>139</v>
      </c>
      <c r="C26" s="51"/>
      <c r="D26" s="50"/>
      <c r="E26" s="67"/>
      <c r="F26" s="68"/>
      <c r="G26" s="109"/>
      <c r="H26" s="57" t="s">
        <v>158</v>
      </c>
      <c r="I26" s="66">
        <v>5</v>
      </c>
      <c r="J26" s="55" t="s">
        <v>34</v>
      </c>
      <c r="K26" s="46"/>
      <c r="L26" s="46"/>
      <c r="M26" s="45"/>
      <c r="N26" s="50"/>
      <c r="O26" s="50"/>
      <c r="P26" s="76"/>
      <c r="Q26" s="50"/>
      <c r="R26" s="43"/>
      <c r="S26" s="43"/>
      <c r="T26" s="43"/>
      <c r="U26" s="43"/>
      <c r="V26" s="43"/>
      <c r="W26" s="43"/>
      <c r="X26" s="43"/>
      <c r="Y26" s="43"/>
    </row>
    <row r="27" spans="2:25" ht="15" customHeight="1" x14ac:dyDescent="0.35">
      <c r="B27" s="46"/>
      <c r="C27" s="46"/>
      <c r="D27" s="46"/>
      <c r="E27" s="46"/>
      <c r="F27" s="45"/>
      <c r="G27" s="110">
        <f>D22-6*D23</f>
        <v>70</v>
      </c>
      <c r="H27" s="57" t="s">
        <v>159</v>
      </c>
      <c r="I27" s="111">
        <f>D22-6*D23</f>
        <v>70</v>
      </c>
      <c r="J27" s="55" t="s">
        <v>34</v>
      </c>
      <c r="K27" s="43"/>
      <c r="L27" s="57" t="s">
        <v>179</v>
      </c>
      <c r="M27" s="23">
        <f>I41</f>
        <v>14</v>
      </c>
      <c r="N27" s="23">
        <f t="array" ref="N27">INDEX(Plancha,MATCH(M27,Plancha,0)+1)</f>
        <v>16</v>
      </c>
      <c r="O27" s="23">
        <f>I41</f>
        <v>14</v>
      </c>
      <c r="P27" s="23">
        <f t="array" ref="P27">INDEX(Plancha,MATCH(O27,Plancha,0)+1)</f>
        <v>16</v>
      </c>
      <c r="Q27" s="55" t="s">
        <v>34</v>
      </c>
      <c r="R27" s="43"/>
      <c r="S27" s="81" t="s">
        <v>150</v>
      </c>
      <c r="T27" s="62" t="s">
        <v>111</v>
      </c>
      <c r="V27" s="43"/>
      <c r="W27" s="81" t="s">
        <v>150</v>
      </c>
      <c r="X27" s="62" t="s">
        <v>111</v>
      </c>
    </row>
    <row r="28" spans="2:25" ht="15" customHeight="1" x14ac:dyDescent="0.35">
      <c r="B28" s="56" t="s">
        <v>222</v>
      </c>
      <c r="C28" s="127" t="s">
        <v>18</v>
      </c>
      <c r="D28" s="126"/>
      <c r="E28" s="53"/>
      <c r="F28" s="45"/>
      <c r="G28" s="46"/>
      <c r="H28" s="46"/>
      <c r="I28" s="112"/>
      <c r="J28" s="55"/>
      <c r="L28" s="57" t="s">
        <v>181</v>
      </c>
      <c r="M28" s="93">
        <f>M47+20</f>
        <v>180</v>
      </c>
      <c r="N28" s="86">
        <f>M47+20</f>
        <v>180</v>
      </c>
      <c r="O28" s="86">
        <f>M47+20</f>
        <v>180</v>
      </c>
      <c r="P28" s="86">
        <f>M47+20</f>
        <v>180</v>
      </c>
      <c r="Q28" s="55" t="s">
        <v>34</v>
      </c>
      <c r="R28" s="43"/>
      <c r="S28" s="57" t="s">
        <v>223</v>
      </c>
      <c r="T28" s="58">
        <f>IF(D23&lt;6,D23,IF(D23&lt;13,5,IF(D23&lt;19,6,8)))</f>
        <v>5</v>
      </c>
      <c r="U28" s="55" t="s">
        <v>34</v>
      </c>
      <c r="V28" s="43"/>
      <c r="W28" s="57" t="s">
        <v>224</v>
      </c>
      <c r="X28" s="66">
        <f>IF(I26&lt;6,I26,IF(I26&lt;13,5,IF(I26&lt;19,6,8)))</f>
        <v>5</v>
      </c>
      <c r="Y28" s="55" t="s">
        <v>34</v>
      </c>
    </row>
    <row r="29" spans="2:25" ht="15" customHeight="1" x14ac:dyDescent="0.35">
      <c r="B29" s="56" t="s">
        <v>142</v>
      </c>
      <c r="C29" s="57" t="s">
        <v>225</v>
      </c>
      <c r="D29" s="66">
        <f>VLOOKUP(C28,Propiedades!B6:D35,2,FALSE)</f>
        <v>36</v>
      </c>
      <c r="E29" s="55" t="s">
        <v>15</v>
      </c>
      <c r="F29" s="45"/>
      <c r="G29" s="55" t="s">
        <v>226</v>
      </c>
      <c r="H29" s="46"/>
      <c r="I29" s="45"/>
      <c r="J29" s="50"/>
      <c r="K29" s="56"/>
      <c r="L29" s="57" t="s">
        <v>160</v>
      </c>
      <c r="M29" s="83">
        <v>0.65</v>
      </c>
      <c r="N29" s="83">
        <v>0.65</v>
      </c>
      <c r="O29" s="83">
        <v>1.2</v>
      </c>
      <c r="P29" s="83">
        <v>1.2</v>
      </c>
      <c r="Q29" s="50"/>
      <c r="R29" s="43"/>
      <c r="S29" s="57" t="s">
        <v>154</v>
      </c>
      <c r="T29" s="120">
        <v>5</v>
      </c>
      <c r="U29" s="55" t="s">
        <v>34</v>
      </c>
      <c r="V29" s="43"/>
      <c r="W29" s="57" t="s">
        <v>154</v>
      </c>
      <c r="X29" s="64">
        <v>4</v>
      </c>
      <c r="Y29" s="55" t="s">
        <v>34</v>
      </c>
    </row>
    <row r="30" spans="2:25" ht="15" customHeight="1" x14ac:dyDescent="0.35">
      <c r="B30" s="56" t="s">
        <v>143</v>
      </c>
      <c r="C30" s="57" t="s">
        <v>227</v>
      </c>
      <c r="D30" s="58">
        <f>VLOOKUP(C28,Propiedades!B6:D35,3,FALSE)</f>
        <v>58</v>
      </c>
      <c r="E30" s="55" t="s">
        <v>15</v>
      </c>
      <c r="F30" s="45"/>
      <c r="G30" s="46"/>
      <c r="H30" s="46"/>
      <c r="I30" s="45"/>
      <c r="J30" s="50"/>
      <c r="K30" s="56"/>
      <c r="L30" s="57" t="s">
        <v>182</v>
      </c>
      <c r="M30" s="64">
        <v>390</v>
      </c>
      <c r="N30" s="64">
        <v>570</v>
      </c>
      <c r="O30" s="64">
        <v>210</v>
      </c>
      <c r="P30" s="64">
        <v>310</v>
      </c>
      <c r="Q30" s="55" t="s">
        <v>34</v>
      </c>
      <c r="R30" s="43"/>
      <c r="S30" s="57" t="s">
        <v>228</v>
      </c>
      <c r="T30" s="58">
        <f>VLOOKUP(T27,Propiedades!B38:C43,2,FALSE)</f>
        <v>70</v>
      </c>
      <c r="U30" s="55" t="s">
        <v>15</v>
      </c>
      <c r="V30" s="43"/>
      <c r="W30" s="57" t="s">
        <v>229</v>
      </c>
      <c r="X30" s="58">
        <f>VLOOKUP(X27,Propiedades!B38:C43,2,FALSE)</f>
        <v>70</v>
      </c>
      <c r="Y30" s="55" t="s">
        <v>15</v>
      </c>
    </row>
    <row r="31" spans="2:25" ht="15" customHeight="1" x14ac:dyDescent="0.35">
      <c r="B31" s="43"/>
      <c r="C31" s="43"/>
      <c r="D31" s="43"/>
      <c r="E31" s="43"/>
      <c r="F31" s="55"/>
      <c r="G31" s="56" t="s">
        <v>141</v>
      </c>
      <c r="H31" s="57" t="s">
        <v>230</v>
      </c>
      <c r="I31" s="66">
        <f>(0.6*D51*(I23+(D50/D51-1)*I22-(D50/D51-0.5)*D40*25.4)+IF(D51=1,M47/2-0.5*D40*25.4,I24-D40*25.4))*I41*D34*0.703/2</f>
        <v>65960.099799999996</v>
      </c>
      <c r="J31" s="55" t="s">
        <v>51</v>
      </c>
      <c r="K31" s="56"/>
      <c r="L31" s="57" t="s">
        <v>161</v>
      </c>
      <c r="M31" s="72">
        <f t="shared" ref="M31:P31" si="1">M27/SQRT(12)</f>
        <v>4.0414518843273806</v>
      </c>
      <c r="N31" s="72">
        <f t="shared" si="1"/>
        <v>4.6188021535170067</v>
      </c>
      <c r="O31" s="72">
        <f t="shared" si="1"/>
        <v>4.0414518843273806</v>
      </c>
      <c r="P31" s="72">
        <f t="shared" si="1"/>
        <v>4.6188021535170067</v>
      </c>
      <c r="Q31" s="55" t="s">
        <v>34</v>
      </c>
      <c r="R31" s="43"/>
      <c r="S31" s="57" t="s">
        <v>231</v>
      </c>
      <c r="T31" s="62">
        <v>155</v>
      </c>
      <c r="U31" s="55" t="s">
        <v>34</v>
      </c>
      <c r="V31" s="43"/>
      <c r="W31" s="57" t="s">
        <v>232</v>
      </c>
      <c r="X31" s="72">
        <f>I27</f>
        <v>70</v>
      </c>
      <c r="Y31" s="55" t="s">
        <v>34</v>
      </c>
    </row>
    <row r="32" spans="2:25" ht="15" customHeight="1" x14ac:dyDescent="0.35">
      <c r="B32" s="56" t="s">
        <v>233</v>
      </c>
      <c r="C32" s="127" t="s">
        <v>18</v>
      </c>
      <c r="D32" s="126"/>
      <c r="E32" s="53"/>
      <c r="F32" s="68"/>
      <c r="G32" s="56" t="s">
        <v>144</v>
      </c>
      <c r="H32" s="57" t="s">
        <v>234</v>
      </c>
      <c r="I32" s="66">
        <f>(0.6*D51*D33*0.703*(I23+(D50/D51-1)*I22)+D34*0.703*IF(D51=1,M47/2-0.5*D40*25.4,I24-D40*25.4))*I41/2</f>
        <v>59007.464949999994</v>
      </c>
      <c r="J32" s="55" t="s">
        <v>51</v>
      </c>
      <c r="K32" s="56"/>
      <c r="L32" s="57" t="s">
        <v>183</v>
      </c>
      <c r="M32" s="72">
        <f t="shared" ref="M32:P32" si="2">M29*M30/M31</f>
        <v>62.724982816958622</v>
      </c>
      <c r="N32" s="72">
        <f t="shared" si="2"/>
        <v>80.215603025533625</v>
      </c>
      <c r="O32" s="72">
        <f t="shared" si="2"/>
        <v>62.353829072479577</v>
      </c>
      <c r="P32" s="72">
        <f t="shared" si="2"/>
        <v>80.540362551952782</v>
      </c>
      <c r="Q32" s="51"/>
      <c r="R32" s="43"/>
      <c r="S32" s="57" t="s">
        <v>235</v>
      </c>
      <c r="T32" s="23">
        <f>4*0.6*T30*0.703*T29*0.707*T31/2</f>
        <v>32356.0671</v>
      </c>
      <c r="U32" s="75" t="s">
        <v>51</v>
      </c>
      <c r="V32" s="43"/>
      <c r="W32" s="57" t="s">
        <v>236</v>
      </c>
      <c r="X32" s="23">
        <f>2*0.707*X29*2*X31*0.6*X30*0.703*0.85/2+0.707*X29*I27*0.6*X30*0.703/2</f>
        <v>12858.927311999994</v>
      </c>
      <c r="Y32" s="75" t="s">
        <v>51</v>
      </c>
    </row>
    <row r="33" spans="2:25" ht="15" customHeight="1" x14ac:dyDescent="0.35">
      <c r="B33" s="56" t="s">
        <v>142</v>
      </c>
      <c r="C33" s="57" t="s">
        <v>237</v>
      </c>
      <c r="D33" s="66">
        <f>VLOOKUP(C32,Propiedades!B6:D35,2,FALSE)</f>
        <v>36</v>
      </c>
      <c r="E33" s="55" t="s">
        <v>15</v>
      </c>
      <c r="F33" s="45"/>
      <c r="G33" s="46"/>
      <c r="H33" s="57" t="s">
        <v>238</v>
      </c>
      <c r="I33" s="66">
        <f>MIN(I31:I32)</f>
        <v>59007.464949999994</v>
      </c>
      <c r="J33" s="55" t="s">
        <v>51</v>
      </c>
      <c r="K33" s="79"/>
      <c r="L33" s="87"/>
      <c r="M33" s="72">
        <f>4.71*SQRT(29000/D33)</f>
        <v>133.68068297252225</v>
      </c>
      <c r="N33" s="72">
        <f>4.71*SQRT(29000/D33)</f>
        <v>133.68068297252225</v>
      </c>
      <c r="O33" s="72">
        <f>4.71*SQRT(29000/D33)</f>
        <v>133.68068297252225</v>
      </c>
      <c r="P33" s="72">
        <f>4.71*SQRT(29000/D33)</f>
        <v>133.68068297252225</v>
      </c>
      <c r="R33" s="43"/>
      <c r="S33" s="57" t="s">
        <v>140</v>
      </c>
      <c r="T33" s="69">
        <f>I19/T32</f>
        <v>0.95717972299088605</v>
      </c>
      <c r="U33" s="43"/>
      <c r="V33" s="43"/>
      <c r="W33" s="94" t="s">
        <v>239</v>
      </c>
      <c r="X33" s="23">
        <f>I26*I27*D29*0.703/1.5</f>
        <v>5905.2</v>
      </c>
      <c r="Y33" s="75" t="s">
        <v>51</v>
      </c>
    </row>
    <row r="34" spans="2:25" ht="15" customHeight="1" x14ac:dyDescent="0.35">
      <c r="B34" s="56" t="s">
        <v>143</v>
      </c>
      <c r="C34" s="57" t="s">
        <v>240</v>
      </c>
      <c r="D34" s="58">
        <f>VLOOKUP(C32,Propiedades!B6:D35,3,FALSE)</f>
        <v>58</v>
      </c>
      <c r="E34" s="55" t="s">
        <v>15</v>
      </c>
      <c r="F34" s="45"/>
      <c r="G34" s="46"/>
      <c r="H34" s="57" t="s">
        <v>140</v>
      </c>
      <c r="I34" s="69">
        <f>I19/I32</f>
        <v>0.5248585305282214</v>
      </c>
      <c r="J34" s="51"/>
      <c r="K34" s="82"/>
      <c r="L34" s="57" t="s">
        <v>164</v>
      </c>
      <c r="M34" s="72">
        <f>IF(M32&lt;=M33,0.658^($D$33*0.703/M35)*$D$33*0.703,0.877*M33)</f>
        <v>20.573319220725658</v>
      </c>
      <c r="N34" s="72">
        <f t="shared" ref="N34:P34" si="3">IF(N32&lt;=N33,0.658^($D$33*0.703/N35)*$D$33*0.703,0.877*N33)</f>
        <v>18.036142759219047</v>
      </c>
      <c r="O34" s="72">
        <f t="shared" si="3"/>
        <v>20.623660613315909</v>
      </c>
      <c r="P34" s="72">
        <f t="shared" si="3"/>
        <v>17.986640108634816</v>
      </c>
      <c r="Q34" s="55" t="s">
        <v>241</v>
      </c>
      <c r="R34" s="45"/>
      <c r="S34" s="46"/>
      <c r="T34" s="43"/>
      <c r="U34" s="43"/>
      <c r="V34" s="43"/>
      <c r="W34" s="57" t="s">
        <v>140</v>
      </c>
      <c r="X34" s="69">
        <f>X33/X32</f>
        <v>0.45922959642903083</v>
      </c>
      <c r="Y34" s="43"/>
    </row>
    <row r="35" spans="2:25" ht="15" customHeight="1" x14ac:dyDescent="0.35">
      <c r="B35" s="43"/>
      <c r="C35" s="43"/>
      <c r="D35" s="43"/>
      <c r="E35" s="43"/>
      <c r="F35" s="55"/>
      <c r="G35" s="43"/>
      <c r="H35" s="43"/>
      <c r="I35" s="43"/>
      <c r="J35" s="43"/>
      <c r="K35" s="56"/>
      <c r="L35" s="57" t="s">
        <v>163</v>
      </c>
      <c r="M35" s="72">
        <f t="shared" ref="M35:P35" si="4">PI()^2*29000*0.703/M32^2</f>
        <v>51.14132387897731</v>
      </c>
      <c r="N35" s="72">
        <f t="shared" si="4"/>
        <v>31.270538700605943</v>
      </c>
      <c r="O35" s="72">
        <f t="shared" si="4"/>
        <v>51.751961143263564</v>
      </c>
      <c r="P35" s="72">
        <f t="shared" si="4"/>
        <v>31.018865367866617</v>
      </c>
      <c r="Q35" s="55" t="s">
        <v>242</v>
      </c>
      <c r="R35" s="43"/>
      <c r="S35" s="43"/>
      <c r="T35" s="43"/>
      <c r="U35" s="43"/>
      <c r="V35" s="43"/>
      <c r="W35" s="43"/>
      <c r="X35" s="43"/>
      <c r="Y35" s="43"/>
    </row>
    <row r="36" spans="2:25" ht="15" customHeight="1" x14ac:dyDescent="0.35">
      <c r="B36" s="55" t="s">
        <v>145</v>
      </c>
      <c r="C36" s="46"/>
      <c r="D36" s="53"/>
      <c r="E36" s="71"/>
      <c r="F36" s="55"/>
      <c r="G36" s="55" t="s">
        <v>243</v>
      </c>
      <c r="H36" s="46"/>
      <c r="I36" s="45"/>
      <c r="J36" s="46"/>
      <c r="K36" s="56"/>
      <c r="L36" s="57" t="s">
        <v>146</v>
      </c>
      <c r="M36" s="23">
        <f>0.6*M34*$M$28*M27</f>
        <v>31106.858661737191</v>
      </c>
      <c r="N36" s="23">
        <f>0.6*N34*$N$28*N27</f>
        <v>31166.454687930509</v>
      </c>
      <c r="O36" s="23">
        <f>0.6*O34*$O$28*O27</f>
        <v>31182.974847333655</v>
      </c>
      <c r="P36" s="23">
        <f>0.6*P34*$P$28*P27</f>
        <v>31080.914107720961</v>
      </c>
      <c r="Q36" s="55" t="s">
        <v>51</v>
      </c>
      <c r="R36" s="43"/>
      <c r="S36" s="43"/>
      <c r="T36" s="43"/>
      <c r="U36" s="43"/>
      <c r="V36" s="43"/>
      <c r="W36" s="43"/>
      <c r="X36" s="43"/>
      <c r="Y36" s="43"/>
    </row>
    <row r="37" spans="2:25" ht="15" customHeight="1" x14ac:dyDescent="0.35">
      <c r="B37" s="55"/>
      <c r="C37" s="46"/>
      <c r="D37" s="53"/>
      <c r="E37" s="71"/>
      <c r="F37" s="55"/>
      <c r="G37" s="46"/>
      <c r="H37" s="46"/>
      <c r="I37" s="45"/>
      <c r="J37" s="46"/>
      <c r="K37" s="46"/>
      <c r="L37" s="57" t="s">
        <v>140</v>
      </c>
      <c r="M37" s="69">
        <f t="shared" ref="M37:P37" si="5">$I$19/M36</f>
        <v>0.99561873735414153</v>
      </c>
      <c r="N37" s="69">
        <f t="shared" si="5"/>
        <v>0.99371493016965307</v>
      </c>
      <c r="O37" s="69">
        <f t="shared" si="5"/>
        <v>0.9931884785040227</v>
      </c>
      <c r="P37" s="69">
        <f t="shared" si="5"/>
        <v>0.99644982243810432</v>
      </c>
      <c r="Q37" s="46"/>
      <c r="R37" s="43"/>
      <c r="S37" s="43"/>
      <c r="T37" s="43"/>
      <c r="U37" s="43"/>
      <c r="V37" s="43"/>
      <c r="W37" s="43"/>
      <c r="X37" s="43"/>
      <c r="Y37" s="43"/>
    </row>
    <row r="38" spans="2:25" ht="15" customHeight="1" x14ac:dyDescent="0.35">
      <c r="B38" s="56" t="s">
        <v>147</v>
      </c>
      <c r="D38" s="62" t="s">
        <v>16</v>
      </c>
      <c r="E38" s="46"/>
      <c r="F38" s="55"/>
      <c r="G38" s="56"/>
      <c r="H38" s="57" t="s">
        <v>244</v>
      </c>
      <c r="I38" s="72">
        <f>I19/(((I23-0.5*D40*25.4)*D51+(D50-D51)*(I22-D40*25.4))*IF(D45="Estandar",0.6,0.5)*D34*0.703)</f>
        <v>4.3823260842906873</v>
      </c>
      <c r="J38" s="55" t="s">
        <v>34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2:25" ht="15" customHeight="1" x14ac:dyDescent="0.35">
      <c r="B39" s="56" t="s">
        <v>148</v>
      </c>
      <c r="C39" s="57" t="s">
        <v>27</v>
      </c>
      <c r="D39" s="73">
        <v>0.75</v>
      </c>
      <c r="E39" s="75" t="s">
        <v>33</v>
      </c>
      <c r="F39" s="55"/>
      <c r="G39" s="56"/>
      <c r="H39" s="57" t="s">
        <v>245</v>
      </c>
      <c r="I39" s="72">
        <f>I19/(D50*D39*25.4*IF(D45="Estandar",1.2,1)*D34*0.703)</f>
        <v>5.5378147314062653</v>
      </c>
      <c r="J39" s="55" t="s">
        <v>34</v>
      </c>
      <c r="K39" s="55" t="s">
        <v>246</v>
      </c>
      <c r="L39" s="46"/>
      <c r="M39" s="45"/>
      <c r="N39" s="50"/>
      <c r="O39" s="54" t="s">
        <v>184</v>
      </c>
      <c r="P39" s="43"/>
      <c r="Q39" s="43"/>
      <c r="R39" s="43"/>
      <c r="S39" s="43"/>
      <c r="T39" s="43"/>
      <c r="U39" s="43"/>
      <c r="V39" s="43"/>
      <c r="W39" s="45"/>
      <c r="X39" s="51"/>
      <c r="Y39" s="43"/>
    </row>
    <row r="40" spans="2:25" ht="15" customHeight="1" x14ac:dyDescent="0.35">
      <c r="B40" s="56" t="s">
        <v>149</v>
      </c>
      <c r="C40" s="57" t="s">
        <v>30</v>
      </c>
      <c r="D40" s="74">
        <f>D39+1/8</f>
        <v>0.875</v>
      </c>
      <c r="E40" s="75" t="s">
        <v>33</v>
      </c>
      <c r="F40" s="43"/>
      <c r="G40" s="56"/>
      <c r="H40" s="57" t="s">
        <v>191</v>
      </c>
      <c r="I40" s="66">
        <f>MAX(I38,I39,6)</f>
        <v>6</v>
      </c>
      <c r="J40" s="55" t="s">
        <v>34</v>
      </c>
      <c r="K40" s="46"/>
      <c r="L40" s="46"/>
      <c r="M40" s="45"/>
      <c r="N40" s="50"/>
      <c r="O40" s="43"/>
      <c r="P40" s="43"/>
      <c r="Q40" s="43"/>
      <c r="R40" s="43"/>
      <c r="S40" s="43"/>
      <c r="T40" s="43"/>
      <c r="U40" s="43"/>
      <c r="V40" s="43"/>
      <c r="W40" s="45"/>
      <c r="X40" s="46"/>
      <c r="Y40" s="43"/>
    </row>
    <row r="41" spans="2:25" ht="15" customHeight="1" x14ac:dyDescent="0.35">
      <c r="B41" s="56" t="s">
        <v>151</v>
      </c>
      <c r="C41" s="57" t="s">
        <v>186</v>
      </c>
      <c r="D41" s="66">
        <f>IF(D38="A325",VLOOKUP(D39,Propiedades!F24:H31,2,FALSE),VLOOKUP(D39,Propiedades!F24:H31,3,FALSE))</f>
        <v>5415.4361828545061</v>
      </c>
      <c r="E41" s="55" t="s">
        <v>51</v>
      </c>
      <c r="F41" s="43"/>
      <c r="G41" s="46"/>
      <c r="H41" s="57" t="s">
        <v>179</v>
      </c>
      <c r="I41" s="64">
        <v>14</v>
      </c>
      <c r="J41" s="55" t="s">
        <v>34</v>
      </c>
      <c r="K41" s="56"/>
      <c r="L41" s="57" t="s">
        <v>247</v>
      </c>
      <c r="M41" s="66">
        <f>MIN(M47,IF(D51=1,2*I23,2*I22*(D50/D51-1)*TAN(PI()/6)+I24*(D51-1)))</f>
        <v>160</v>
      </c>
      <c r="N41" s="55" t="s">
        <v>34</v>
      </c>
      <c r="O41" s="43"/>
      <c r="V41" s="43"/>
      <c r="W41" s="43"/>
      <c r="X41" s="43"/>
      <c r="Y41" s="43"/>
    </row>
    <row r="42" spans="2:25" ht="15" customHeight="1" x14ac:dyDescent="0.35">
      <c r="B42" s="56" t="s">
        <v>152</v>
      </c>
      <c r="C42" s="57" t="s">
        <v>187</v>
      </c>
      <c r="D42" s="66">
        <f>IF(D38="A325",VLOOKUP(D39,Propiedades!I24:K31,2,FALSE),VLOOKUP(D39,Propiedades!I24:K31,3,FALSE))</f>
        <v>9006.72544095802</v>
      </c>
      <c r="E42" s="55" t="s">
        <v>51</v>
      </c>
      <c r="F42" s="43"/>
      <c r="G42" s="46"/>
      <c r="H42" s="57" t="s">
        <v>140</v>
      </c>
      <c r="I42" s="69">
        <f>MAX(I38:I39)/I41</f>
        <v>0.39555819510044754</v>
      </c>
      <c r="J42" s="50"/>
      <c r="K42" s="56"/>
      <c r="L42" s="57" t="s">
        <v>248</v>
      </c>
      <c r="M42" s="66">
        <f>M41*I41*0.6*D33*0.703</f>
        <v>34013.951999999997</v>
      </c>
      <c r="N42" s="55" t="s">
        <v>51</v>
      </c>
      <c r="O42" s="43"/>
      <c r="P42" s="81" t="s">
        <v>150</v>
      </c>
      <c r="Q42" s="127" t="s">
        <v>111</v>
      </c>
      <c r="R42" s="125"/>
      <c r="S42" s="125"/>
      <c r="T42" s="126"/>
      <c r="U42" s="43"/>
      <c r="V42" s="43"/>
      <c r="W42" s="43"/>
      <c r="X42" s="43"/>
      <c r="Y42" s="43"/>
    </row>
    <row r="43" spans="2:25" ht="15" customHeight="1" x14ac:dyDescent="0.35">
      <c r="B43" s="56" t="s">
        <v>153</v>
      </c>
      <c r="C43" s="57" t="s">
        <v>249</v>
      </c>
      <c r="D43" s="72">
        <f>VLOOKUP(D39,Propiedades!F12:K19,4,FALSE)</f>
        <v>23.8125</v>
      </c>
      <c r="E43" s="75" t="s">
        <v>34</v>
      </c>
      <c r="F43" s="43"/>
      <c r="G43" s="43"/>
      <c r="H43" s="43"/>
      <c r="I43" s="43"/>
      <c r="J43" s="43"/>
      <c r="K43" s="50"/>
      <c r="L43" s="57" t="s">
        <v>140</v>
      </c>
      <c r="M43" s="69">
        <f>I19/M42</f>
        <v>0.91052552034684253</v>
      </c>
      <c r="N43" s="46"/>
      <c r="O43" s="43"/>
      <c r="P43" s="57" t="s">
        <v>250</v>
      </c>
      <c r="Q43" s="150">
        <f>IF(I41&lt;6,I41,IF(I41&lt;13,5,IF(I41&lt;19,6,8)))</f>
        <v>6</v>
      </c>
      <c r="R43" s="125"/>
      <c r="S43" s="125"/>
      <c r="T43" s="126"/>
      <c r="U43" s="55" t="s">
        <v>34</v>
      </c>
      <c r="V43" s="43"/>
      <c r="W43" s="43"/>
      <c r="X43" s="43"/>
      <c r="Y43" s="43"/>
    </row>
    <row r="44" spans="2:25" ht="15" customHeight="1" x14ac:dyDescent="0.35">
      <c r="B44" s="56" t="s">
        <v>155</v>
      </c>
      <c r="C44" s="57" t="s">
        <v>251</v>
      </c>
      <c r="D44" s="72">
        <f>VLOOKUP(D39,Propiedades!F12:K19,6,FALSE)</f>
        <v>50.673000000000002</v>
      </c>
      <c r="E44" s="75" t="s">
        <v>34</v>
      </c>
      <c r="F44" s="44"/>
      <c r="G44" s="59" t="s">
        <v>252</v>
      </c>
      <c r="H44" s="46"/>
      <c r="I44" s="45"/>
      <c r="J44" s="43"/>
      <c r="L44" s="43"/>
      <c r="M44" s="43"/>
      <c r="O44" s="43"/>
      <c r="P44" s="57" t="s">
        <v>154</v>
      </c>
      <c r="Q44" s="62">
        <v>5</v>
      </c>
      <c r="R44" s="58">
        <f t="array" ref="R44">INDEX(Filete,MATCH(Q44,Filete,0)+1)</f>
        <v>6</v>
      </c>
      <c r="S44" s="58">
        <f t="shared" ref="S44:T44" si="6">Q44</f>
        <v>5</v>
      </c>
      <c r="T44" s="58">
        <f t="shared" si="6"/>
        <v>6</v>
      </c>
      <c r="U44" s="55" t="s">
        <v>34</v>
      </c>
      <c r="V44" s="43"/>
      <c r="W44" s="43"/>
      <c r="X44" s="43"/>
      <c r="Y44" s="43"/>
    </row>
    <row r="45" spans="2:25" ht="15" customHeight="1" x14ac:dyDescent="0.35">
      <c r="B45" s="56" t="s">
        <v>156</v>
      </c>
      <c r="C45" s="57"/>
      <c r="D45" s="77" t="s">
        <v>13</v>
      </c>
      <c r="E45" s="46"/>
      <c r="F45" s="44"/>
      <c r="G45" s="76"/>
      <c r="H45" s="46"/>
      <c r="I45" s="50"/>
      <c r="J45" s="43"/>
      <c r="K45" s="55" t="s">
        <v>253</v>
      </c>
      <c r="L45" s="46"/>
      <c r="M45" s="46"/>
      <c r="N45" s="45"/>
      <c r="O45" s="43"/>
      <c r="P45" s="57" t="s">
        <v>254</v>
      </c>
      <c r="Q45" s="150">
        <f>VLOOKUP(Q42,Propiedades!B38:C43,2,FALSE)</f>
        <v>70</v>
      </c>
      <c r="R45" s="125"/>
      <c r="S45" s="125"/>
      <c r="T45" s="126"/>
      <c r="U45" s="55" t="s">
        <v>15</v>
      </c>
      <c r="V45" s="43"/>
      <c r="W45" s="43"/>
      <c r="X45" s="43"/>
      <c r="Y45" s="43"/>
    </row>
    <row r="46" spans="2:25" ht="15" customHeight="1" x14ac:dyDescent="0.35">
      <c r="B46" s="56" t="s">
        <v>157</v>
      </c>
      <c r="C46" s="57"/>
      <c r="D46" s="119" t="s">
        <v>76</v>
      </c>
      <c r="E46" s="75"/>
      <c r="F46" s="43"/>
      <c r="G46" s="46"/>
      <c r="H46" s="57" t="s">
        <v>198</v>
      </c>
      <c r="I46" s="113">
        <f>IF(C18="Cajón",1-((D22^2+2*D22*D21)/(4*(D22+D21)))/T31,IF(T31&gt;1.3*D21,1,1-(D21*T31/PI())))</f>
        <v>0.75806451612903225</v>
      </c>
      <c r="K46" s="46"/>
      <c r="L46" s="46"/>
      <c r="M46" s="46"/>
      <c r="N46" s="45"/>
      <c r="O46" s="43"/>
      <c r="P46" s="57" t="s">
        <v>255</v>
      </c>
      <c r="Q46" s="64">
        <f>_xlfn.CEILING.MATH(I19/(0.6*Q45*0.703*0.707*Q44),10)</f>
        <v>300</v>
      </c>
      <c r="R46" s="64">
        <f>_xlfn.CEILING.MATH(I19/(0.6*Q45*0.703*0.707*R44),10)</f>
        <v>250</v>
      </c>
      <c r="S46" s="64">
        <f>_xlfn.CEILING.MATH(I20/(0.6*Q45*0.703*0.707*S44),10)</f>
        <v>210</v>
      </c>
      <c r="T46" s="64">
        <f>_xlfn.CEILING.MATH(I20/(0.6*Q45*0.703*0.707*T44),10)</f>
        <v>180</v>
      </c>
      <c r="U46" s="55" t="s">
        <v>34</v>
      </c>
      <c r="V46" s="43"/>
      <c r="W46" s="43"/>
      <c r="X46" s="43"/>
      <c r="Y46" s="43"/>
    </row>
    <row r="47" spans="2:25" ht="15" customHeight="1" x14ac:dyDescent="0.35">
      <c r="C47" s="96" t="s">
        <v>186</v>
      </c>
      <c r="D47" s="114">
        <f>VLOOKUP(D39,Propiedades!F24:P31,11,FALSE)</f>
        <v>3591.1399999999994</v>
      </c>
      <c r="E47" s="55" t="s">
        <v>51</v>
      </c>
      <c r="F47" s="43"/>
      <c r="G47" s="46"/>
      <c r="H47" s="57" t="s">
        <v>256</v>
      </c>
      <c r="I47" s="66">
        <f>0.5*D30*0.703*I46*(D24-2*(I41+1.5875)*D23+2*I26*I27)</f>
        <v>36778.144417117604</v>
      </c>
      <c r="J47" s="55" t="s">
        <v>51</v>
      </c>
      <c r="K47" s="56"/>
      <c r="L47" s="57" t="s">
        <v>257</v>
      </c>
      <c r="M47" s="64">
        <v>160</v>
      </c>
      <c r="N47" s="55" t="s">
        <v>34</v>
      </c>
      <c r="O47" s="43"/>
      <c r="P47" s="57" t="s">
        <v>258</v>
      </c>
      <c r="Q47" s="23">
        <f>(0.6*Q45*0.703*Q44*0.707*Q46)</f>
        <v>31312.323</v>
      </c>
      <c r="R47" s="23">
        <f>(0.6*Q45*0.703*R44*0.707*R46)</f>
        <v>31312.323</v>
      </c>
      <c r="S47" s="23">
        <f>(0.6*Q45*0.703*S44*0.707*S46)</f>
        <v>21918.626099999998</v>
      </c>
      <c r="T47" s="23">
        <f>(0.6*Q45*0.703*T44*0.707*T46)</f>
        <v>22544.87256</v>
      </c>
      <c r="U47" s="75" t="s">
        <v>51</v>
      </c>
      <c r="V47" s="43"/>
      <c r="W47" s="43"/>
      <c r="X47" s="43"/>
      <c r="Y47" s="43"/>
    </row>
    <row r="48" spans="2:25" ht="15" customHeight="1" x14ac:dyDescent="0.35">
      <c r="F48" s="43"/>
      <c r="G48" s="76"/>
      <c r="H48" s="57" t="s">
        <v>140</v>
      </c>
      <c r="I48" s="69">
        <f>I19/I47</f>
        <v>0.84209173232344836</v>
      </c>
      <c r="J48" s="45"/>
      <c r="K48" s="56"/>
      <c r="L48" s="57" t="s">
        <v>260</v>
      </c>
      <c r="M48" s="66">
        <f>(M47-D51*D40*25.4)*I41*0.5*D34*0.703</f>
        <v>32980.049900000005</v>
      </c>
      <c r="N48" s="55" t="s">
        <v>51</v>
      </c>
      <c r="O48" s="46"/>
      <c r="P48" s="57" t="s">
        <v>140</v>
      </c>
      <c r="Q48" s="69">
        <f>I19/Q47</f>
        <v>0.98908571375724896</v>
      </c>
      <c r="R48" s="69">
        <f>I19/R47</f>
        <v>0.98908571375724896</v>
      </c>
      <c r="S48" s="69">
        <f>I20/S47</f>
        <v>0.99912745053212471</v>
      </c>
      <c r="T48" s="69">
        <f>I20/T47</f>
        <v>0.97137391023956565</v>
      </c>
      <c r="U48" s="43"/>
      <c r="V48" s="43"/>
      <c r="W48" s="43"/>
      <c r="X48" s="43"/>
      <c r="Y48" s="43"/>
    </row>
    <row r="49" spans="2:25" ht="15" customHeight="1" x14ac:dyDescent="0.35">
      <c r="B49" s="56" t="s">
        <v>175</v>
      </c>
      <c r="C49" s="57" t="s">
        <v>259</v>
      </c>
      <c r="D49" s="70">
        <f>IF(D46="Aplast.",I19/D41,I19/D47)</f>
        <v>5.7189430912151877</v>
      </c>
      <c r="F49" s="46"/>
      <c r="G49" s="43"/>
      <c r="H49" s="43"/>
      <c r="I49" s="43"/>
      <c r="J49" s="43"/>
      <c r="K49" s="46"/>
      <c r="L49" s="57" t="s">
        <v>140</v>
      </c>
      <c r="M49" s="69">
        <f>I19/M48</f>
        <v>0.93906987520514695</v>
      </c>
      <c r="N49" s="46"/>
      <c r="O49" s="53"/>
      <c r="P49" s="50"/>
      <c r="Q49" s="76"/>
      <c r="R49" s="43"/>
      <c r="S49" s="43"/>
      <c r="T49" s="43"/>
      <c r="U49" s="43"/>
      <c r="V49" s="43"/>
      <c r="W49" s="43"/>
      <c r="X49" s="43"/>
      <c r="Y49" s="43"/>
    </row>
    <row r="50" spans="2:25" ht="15" customHeight="1" x14ac:dyDescent="0.35">
      <c r="B50" s="56" t="s">
        <v>176</v>
      </c>
      <c r="C50" s="60" t="s">
        <v>177</v>
      </c>
      <c r="D50" s="61">
        <v>6</v>
      </c>
      <c r="E50" s="69">
        <f>D49/D50</f>
        <v>0.95315718186919796</v>
      </c>
      <c r="F50" s="46"/>
      <c r="G50" s="43"/>
      <c r="H50" s="43"/>
      <c r="I50" s="43"/>
      <c r="J50" s="43"/>
      <c r="K50" s="43"/>
      <c r="L50" s="43"/>
      <c r="M50" s="43"/>
      <c r="N50" s="43"/>
      <c r="O50" s="46"/>
      <c r="P50" s="43"/>
      <c r="Q50" s="43"/>
      <c r="R50" s="43"/>
      <c r="S50" s="43"/>
      <c r="T50" s="43"/>
      <c r="U50" s="43"/>
      <c r="V50" s="43"/>
      <c r="W50" s="43"/>
    </row>
    <row r="51" spans="2:25" ht="15" customHeight="1" x14ac:dyDescent="0.35">
      <c r="B51" s="56" t="s">
        <v>199</v>
      </c>
      <c r="C51" s="60" t="s">
        <v>185</v>
      </c>
      <c r="D51" s="61">
        <v>2</v>
      </c>
      <c r="E51" s="43"/>
      <c r="F51" s="51"/>
      <c r="G51" s="43"/>
      <c r="H51" s="43"/>
      <c r="I51" s="43"/>
      <c r="J51" s="43"/>
      <c r="K51" s="43"/>
      <c r="L51" s="43"/>
      <c r="M51" s="43"/>
      <c r="N51" s="43"/>
      <c r="O51" s="53"/>
      <c r="P51" s="43"/>
      <c r="Q51" s="43"/>
      <c r="R51" s="43"/>
      <c r="S51" s="43"/>
      <c r="T51" s="43"/>
      <c r="U51" s="43"/>
      <c r="V51" s="43"/>
      <c r="W51" s="43"/>
      <c r="X51" s="78"/>
    </row>
  </sheetData>
  <mergeCells count="72">
    <mergeCell ref="C18:D18"/>
    <mergeCell ref="C19:D19"/>
    <mergeCell ref="C20:D20"/>
    <mergeCell ref="Q13:R13"/>
    <mergeCell ref="S13:T13"/>
    <mergeCell ref="P15:P16"/>
    <mergeCell ref="K15:K16"/>
    <mergeCell ref="L15:L16"/>
    <mergeCell ref="M15:M16"/>
    <mergeCell ref="N15:N16"/>
    <mergeCell ref="O15:O16"/>
    <mergeCell ref="W13:X13"/>
    <mergeCell ref="U13:V13"/>
    <mergeCell ref="L5:M5"/>
    <mergeCell ref="P5:Q5"/>
    <mergeCell ref="L9:L10"/>
    <mergeCell ref="M9:M10"/>
    <mergeCell ref="N9:N10"/>
    <mergeCell ref="O9:O10"/>
    <mergeCell ref="U9:U10"/>
    <mergeCell ref="V9:V10"/>
    <mergeCell ref="K12:N12"/>
    <mergeCell ref="O12:P12"/>
    <mergeCell ref="Q12:T12"/>
    <mergeCell ref="U12:X12"/>
    <mergeCell ref="K9:K10"/>
    <mergeCell ref="P9:P10"/>
    <mergeCell ref="Q9:Q10"/>
    <mergeCell ref="R9:R10"/>
    <mergeCell ref="S9:S10"/>
    <mergeCell ref="T9:T10"/>
    <mergeCell ref="K3:K5"/>
    <mergeCell ref="L3:M3"/>
    <mergeCell ref="N3:O3"/>
    <mergeCell ref="P3:Q3"/>
    <mergeCell ref="R3:S3"/>
    <mergeCell ref="L4:M4"/>
    <mergeCell ref="R5:S5"/>
    <mergeCell ref="P4:Q4"/>
    <mergeCell ref="R4:S4"/>
    <mergeCell ref="U3:V3"/>
    <mergeCell ref="U4:V4"/>
    <mergeCell ref="U5:V5"/>
    <mergeCell ref="T4:T5"/>
    <mergeCell ref="Q43:T43"/>
    <mergeCell ref="K18:T18"/>
    <mergeCell ref="Q20:Q21"/>
    <mergeCell ref="R20:R21"/>
    <mergeCell ref="S20:S21"/>
    <mergeCell ref="K19:N19"/>
    <mergeCell ref="O19:T19"/>
    <mergeCell ref="L20:L21"/>
    <mergeCell ref="M20:M21"/>
    <mergeCell ref="N20:N21"/>
    <mergeCell ref="O20:O21"/>
    <mergeCell ref="T20:T21"/>
    <mergeCell ref="Q45:T45"/>
    <mergeCell ref="C28:D28"/>
    <mergeCell ref="C32:D32"/>
    <mergeCell ref="K20:K21"/>
    <mergeCell ref="K22:K23"/>
    <mergeCell ref="L22:L23"/>
    <mergeCell ref="M22:M23"/>
    <mergeCell ref="N22:N23"/>
    <mergeCell ref="O22:O23"/>
    <mergeCell ref="P22:P23"/>
    <mergeCell ref="Q22:Q23"/>
    <mergeCell ref="R22:R23"/>
    <mergeCell ref="S22:S23"/>
    <mergeCell ref="T22:T23"/>
    <mergeCell ref="Q42:T42"/>
    <mergeCell ref="P20:P21"/>
  </mergeCells>
  <conditionalFormatting sqref="G22:G23">
    <cfRule type="cellIs" dxfId="27" priority="1" operator="equal">
      <formula>"OK"</formula>
    </cfRule>
  </conditionalFormatting>
  <conditionalFormatting sqref="G22:G23">
    <cfRule type="cellIs" dxfId="26" priority="2" operator="equal">
      <formula>"NA"</formula>
    </cfRule>
  </conditionalFormatting>
  <conditionalFormatting sqref="I48">
    <cfRule type="cellIs" dxfId="25" priority="3" operator="greaterThan">
      <formula>1</formula>
    </cfRule>
  </conditionalFormatting>
  <conditionalFormatting sqref="I48">
    <cfRule type="cellIs" dxfId="24" priority="4" operator="lessThan">
      <formula>1</formula>
    </cfRule>
  </conditionalFormatting>
  <conditionalFormatting sqref="M43">
    <cfRule type="cellIs" dxfId="23" priority="5" operator="greaterThan">
      <formula>1</formula>
    </cfRule>
  </conditionalFormatting>
  <conditionalFormatting sqref="M43">
    <cfRule type="cellIs" dxfId="22" priority="6" operator="lessThan">
      <formula>1</formula>
    </cfRule>
  </conditionalFormatting>
  <conditionalFormatting sqref="M49">
    <cfRule type="cellIs" dxfId="21" priority="7" operator="greaterThan">
      <formula>1</formula>
    </cfRule>
  </conditionalFormatting>
  <conditionalFormatting sqref="M49">
    <cfRule type="cellIs" dxfId="20" priority="8" operator="lessThan">
      <formula>1</formula>
    </cfRule>
  </conditionalFormatting>
  <conditionalFormatting sqref="I34">
    <cfRule type="cellIs" dxfId="19" priority="9" operator="greaterThan">
      <formula>1</formula>
    </cfRule>
  </conditionalFormatting>
  <conditionalFormatting sqref="I34">
    <cfRule type="cellIs" dxfId="18" priority="10" operator="lessThan">
      <formula>1</formula>
    </cfRule>
  </conditionalFormatting>
  <conditionalFormatting sqref="M37:P37">
    <cfRule type="cellIs" dxfId="17" priority="11" operator="greaterThan">
      <formula>1</formula>
    </cfRule>
  </conditionalFormatting>
  <conditionalFormatting sqref="M37:P37">
    <cfRule type="cellIs" dxfId="16" priority="12" operator="lessThan">
      <formula>1</formula>
    </cfRule>
  </conditionalFormatting>
  <conditionalFormatting sqref="G24">
    <cfRule type="cellIs" dxfId="15" priority="13" operator="equal">
      <formula>"OK"</formula>
    </cfRule>
  </conditionalFormatting>
  <conditionalFormatting sqref="G24">
    <cfRule type="cellIs" dxfId="14" priority="14" operator="equal">
      <formula>"NA"</formula>
    </cfRule>
  </conditionalFormatting>
  <conditionalFormatting sqref="T33">
    <cfRule type="cellIs" dxfId="13" priority="15" operator="greaterThan">
      <formula>1</formula>
    </cfRule>
  </conditionalFormatting>
  <conditionalFormatting sqref="T33">
    <cfRule type="cellIs" dxfId="12" priority="16" operator="lessThan">
      <formula>1</formula>
    </cfRule>
  </conditionalFormatting>
  <conditionalFormatting sqref="E50">
    <cfRule type="cellIs" dxfId="11" priority="17" operator="greaterThan">
      <formula>1</formula>
    </cfRule>
  </conditionalFormatting>
  <conditionalFormatting sqref="E50">
    <cfRule type="cellIs" dxfId="10" priority="18" operator="lessThan">
      <formula>1</formula>
    </cfRule>
  </conditionalFormatting>
  <conditionalFormatting sqref="I42">
    <cfRule type="cellIs" dxfId="9" priority="19" operator="greaterThan">
      <formula>1</formula>
    </cfRule>
  </conditionalFormatting>
  <conditionalFormatting sqref="I42">
    <cfRule type="cellIs" dxfId="8" priority="20" operator="lessThan">
      <formula>1</formula>
    </cfRule>
  </conditionalFormatting>
  <conditionalFormatting sqref="Q48">
    <cfRule type="cellIs" dxfId="7" priority="21" operator="greaterThan">
      <formula>1</formula>
    </cfRule>
  </conditionalFormatting>
  <conditionalFormatting sqref="Q48">
    <cfRule type="cellIs" dxfId="6" priority="22" operator="lessThan">
      <formula>1</formula>
    </cfRule>
  </conditionalFormatting>
  <conditionalFormatting sqref="X34">
    <cfRule type="cellIs" dxfId="5" priority="23" operator="greaterThan">
      <formula>1</formula>
    </cfRule>
  </conditionalFormatting>
  <conditionalFormatting sqref="X34">
    <cfRule type="cellIs" dxfId="4" priority="24" operator="lessThan">
      <formula>1</formula>
    </cfRule>
  </conditionalFormatting>
  <conditionalFormatting sqref="G25">
    <cfRule type="cellIs" dxfId="3" priority="25" operator="equal">
      <formula>"OK"</formula>
    </cfRule>
  </conditionalFormatting>
  <conditionalFormatting sqref="G25">
    <cfRule type="cellIs" dxfId="2" priority="26" operator="equal">
      <formula>"NA"</formula>
    </cfRule>
  </conditionalFormatting>
  <conditionalFormatting sqref="R48:T48">
    <cfRule type="cellIs" dxfId="1" priority="27" operator="greaterThan">
      <formula>1</formula>
    </cfRule>
  </conditionalFormatting>
  <conditionalFormatting sqref="R48:T48">
    <cfRule type="cellIs" dxfId="0" priority="28" operator="lessThan">
      <formula>1</formula>
    </cfRule>
  </conditionalFormatting>
  <dataValidations count="10">
    <dataValidation type="list" allowBlank="1" showErrorMessage="1" sqref="D39" xr:uid="{00000000-0002-0000-2400-000000000000}">
      <formula1>phi</formula1>
    </dataValidation>
    <dataValidation type="list" allowBlank="1" showErrorMessage="1" sqref="I26 I41" xr:uid="{00000000-0002-0000-2400-000001000000}">
      <formula1>Plancha</formula1>
    </dataValidation>
    <dataValidation type="list" allowBlank="1" showErrorMessage="1" sqref="C28 C32" xr:uid="{00000000-0002-0000-2400-000002000000}">
      <formula1>Aceros</formula1>
    </dataValidation>
    <dataValidation type="list" allowBlank="1" showErrorMessage="1" sqref="I18" xr:uid="{00000000-0002-0000-2400-000003000000}">
      <formula1>porcentaje</formula1>
    </dataValidation>
    <dataValidation type="list" allowBlank="1" showErrorMessage="1" sqref="T29 X29 Q44:T44" xr:uid="{00000000-0002-0000-2400-000004000000}">
      <formula1>Filete</formula1>
    </dataValidation>
    <dataValidation type="list" allowBlank="1" showErrorMessage="1" sqref="D46" xr:uid="{00000000-0002-0000-2400-000005000000}">
      <formula1>Union</formula1>
    </dataValidation>
    <dataValidation type="list" allowBlank="1" showErrorMessage="1" sqref="C18" xr:uid="{00000000-0002-0000-2400-000006000000}">
      <formula1>Cajon</formula1>
    </dataValidation>
    <dataValidation type="list" allowBlank="1" showErrorMessage="1" sqref="D45" xr:uid="{00000000-0002-0000-2400-000007000000}">
      <formula1>Perforación</formula1>
    </dataValidation>
    <dataValidation type="list" allowBlank="1" showErrorMessage="1" sqref="D38" xr:uid="{00000000-0002-0000-2400-000008000000}">
      <formula1>Pernos</formula1>
    </dataValidation>
    <dataValidation type="list" allowBlank="1" showErrorMessage="1" sqref="T27 X27 Q42" xr:uid="{00000000-0002-0000-2400-000009000000}">
      <formula1>Soldadura</formula1>
    </dataValidation>
  </dataValidations>
  <pageMargins left="0.25" right="0.25" top="0.75" bottom="0" header="0" footer="0"/>
  <pageSetup orientation="landscape"/>
  <headerFooter>
    <oddHeader>&amp;CAISC 14th Edition Método ASD CONEXIONES DE DIAGONALES APERNADAS&amp;RTipo Cajón y Tubular</oddHead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</vt:i4>
      </vt:variant>
    </vt:vector>
  </HeadingPairs>
  <TitlesOfParts>
    <vt:vector size="29" baseType="lpstr">
      <vt:lpstr>Propiedades</vt:lpstr>
      <vt:lpstr>Diag CJ Apernada</vt:lpstr>
      <vt:lpstr>Aceros</vt:lpstr>
      <vt:lpstr>angulo</vt:lpstr>
      <vt:lpstr>atiesador</vt:lpstr>
      <vt:lpstr>Cajon</vt:lpstr>
      <vt:lpstr>Conexion</vt:lpstr>
      <vt:lpstr>eje</vt:lpstr>
      <vt:lpstr>Empalme</vt:lpstr>
      <vt:lpstr>Enrejado</vt:lpstr>
      <vt:lpstr>Filete</vt:lpstr>
      <vt:lpstr>Fu</vt:lpstr>
      <vt:lpstr>Fy</vt:lpstr>
      <vt:lpstr>laminado</vt:lpstr>
      <vt:lpstr>Momento</vt:lpstr>
      <vt:lpstr>Opcion</vt:lpstr>
      <vt:lpstr>perfil</vt:lpstr>
      <vt:lpstr>Perforación</vt:lpstr>
      <vt:lpstr>Pernos</vt:lpstr>
      <vt:lpstr>phi</vt:lpstr>
      <vt:lpstr>Plancha</vt:lpstr>
      <vt:lpstr>porcentaje</vt:lpstr>
      <vt:lpstr>Propiedades</vt:lpstr>
      <vt:lpstr>puntal</vt:lpstr>
      <vt:lpstr>radio</vt:lpstr>
      <vt:lpstr>Soldadura</vt:lpstr>
      <vt:lpstr>TipoSoldadura</vt:lpstr>
      <vt:lpstr>TL</vt:lpstr>
      <vt:lpstr>Union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Poul</dc:creator>
  <cp:lastModifiedBy>Poul Kruuse</cp:lastModifiedBy>
  <dcterms:created xsi:type="dcterms:W3CDTF">2015-12-18T14:44:50Z</dcterms:created>
  <dcterms:modified xsi:type="dcterms:W3CDTF">2025-05-03T02:25:09Z</dcterms:modified>
</cp:coreProperties>
</file>